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ent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<sst xmlns="http://schemas.openxmlformats.org/spreadsheetml/2006/main" count="789" uniqueCount="361">
  <si>
    <t xml:space="preserve">DASHBOARD DE INVENTARIO — PANTALLAS INTERACTIVAS</t>
  </si>
  <si>
    <t xml:space="preserve">Resumen general y por bloque/zona (se actualiza automáticamente desde la hoja Inventario)</t>
  </si>
  <si>
    <t xml:space="preserve">Total Pantallas (registros)</t>
  </si>
  <si>
    <t xml:space="preserve">Instaladas</t>
  </si>
  <si>
    <t xml:space="preserve">Pendientes</t>
  </si>
  <si>
    <t xml:space="preserve">% Avance Instalación</t>
  </si>
  <si>
    <t xml:space="preserve">Detalle por Bloque / Zona</t>
  </si>
  <si>
    <t xml:space="preserve">Bloque / Zona</t>
  </si>
  <si>
    <t xml:space="preserve">Total</t>
  </si>
  <si>
    <t xml:space="preserve">% Avance</t>
  </si>
  <si>
    <t xml:space="preserve">Bloque 1</t>
  </si>
  <si>
    <t xml:space="preserve">Bloque 2</t>
  </si>
  <si>
    <t xml:space="preserve">Bloque 3</t>
  </si>
  <si>
    <t xml:space="preserve">Bloque 4</t>
  </si>
  <si>
    <t xml:space="preserve">Bloque 5</t>
  </si>
  <si>
    <t xml:space="preserve">Bloque 6</t>
  </si>
  <si>
    <t xml:space="preserve">Bloque 7</t>
  </si>
  <si>
    <t xml:space="preserve">Bloque 8</t>
  </si>
  <si>
    <t xml:space="preserve">Bloque 9</t>
  </si>
  <si>
    <t xml:space="preserve">CEP</t>
  </si>
  <si>
    <t xml:space="preserve">Derecho</t>
  </si>
  <si>
    <t xml:space="preserve">Idiomas</t>
  </si>
  <si>
    <t xml:space="preserve">Otros</t>
  </si>
  <si>
    <t xml:space="preserve">ID</t>
  </si>
  <si>
    <t xml:space="preserve">Salón</t>
  </si>
  <si>
    <t xml:space="preserve">Estado</t>
  </si>
  <si>
    <t xml:space="preserve">Pulgadas</t>
  </si>
  <si>
    <t xml:space="preserve">Activo Fijo Pantalla</t>
  </si>
  <si>
    <t xml:space="preserve">Serial Pantalla</t>
  </si>
  <si>
    <t xml:space="preserve">Modelo</t>
  </si>
  <si>
    <t xml:space="preserve">Accesorios</t>
  </si>
  <si>
    <t xml:space="preserve">Fecha Instalación</t>
  </si>
  <si>
    <t xml:space="preserve">Fecha Iceberg</t>
  </si>
  <si>
    <t xml:space="preserve">Serial OPS</t>
  </si>
  <si>
    <t xml:space="preserve">Características OPS</t>
  </si>
  <si>
    <t xml:space="preserve">Fecha OPS</t>
  </si>
  <si>
    <t xml:space="preserve">Activo Fijo UPS</t>
  </si>
  <si>
    <t xml:space="preserve">Año</t>
  </si>
  <si>
    <t xml:space="preserve">1-11</t>
  </si>
  <si>
    <t xml:space="preserve">Instalada</t>
  </si>
  <si>
    <t xml:space="preserve">65"</t>
  </si>
  <si>
    <t xml:space="preserve">U15280502555</t>
  </si>
  <si>
    <t xml:space="preserve">OS99T7250300044</t>
  </si>
  <si>
    <t xml:space="preserve">T7-65</t>
  </si>
  <si>
    <t xml:space="preserve">1 cable HDMI, 1 cable de alimentación, 1 cable táctil</t>
  </si>
  <si>
    <t xml:space="preserve">2025-07-28</t>
  </si>
  <si>
    <t xml:space="preserve">2025-08-04</t>
  </si>
  <si>
    <t xml:space="preserve">OSOPSI711L703980J</t>
  </si>
  <si>
    <t xml:space="preserve">i7 - 16 GB - 256 GB</t>
  </si>
  <si>
    <t xml:space="preserve">U15280502554</t>
  </si>
  <si>
    <t xml:space="preserve">2025</t>
  </si>
  <si>
    <t xml:space="preserve">1-12</t>
  </si>
  <si>
    <t xml:space="preserve">U15280502429</t>
  </si>
  <si>
    <t xml:space="preserve">OS68TL7240700747</t>
  </si>
  <si>
    <t xml:space="preserve">TL7-65</t>
  </si>
  <si>
    <t xml:space="preserve">2 cable HDMI, 1 cable de alimentación, 1 cable táctil</t>
  </si>
  <si>
    <t xml:space="preserve">2025-04-14</t>
  </si>
  <si>
    <t xml:space="preserve">2025-03-18</t>
  </si>
  <si>
    <t xml:space="preserve">MCS-20241225004</t>
  </si>
  <si>
    <t xml:space="preserve">U15280503767</t>
  </si>
  <si>
    <t xml:space="preserve">1-13</t>
  </si>
  <si>
    <t xml:space="preserve">U15280502430</t>
  </si>
  <si>
    <t xml:space="preserve">OS68TL7240700637</t>
  </si>
  <si>
    <t xml:space="preserve">3 cable HDMI, 1 cable de alimentación, 1 cable táctil</t>
  </si>
  <si>
    <t xml:space="preserve">MCS-20241225019</t>
  </si>
  <si>
    <t xml:space="preserve">U15280503775</t>
  </si>
  <si>
    <t xml:space="preserve">1-14</t>
  </si>
  <si>
    <t xml:space="preserve">U15280503723</t>
  </si>
  <si>
    <t xml:space="preserve">OS68TL7240300717</t>
  </si>
  <si>
    <t xml:space="preserve">4 cable HDMI, 1 cable de alimentación, 1 cable táctil</t>
  </si>
  <si>
    <t xml:space="preserve">2024-12-05</t>
  </si>
  <si>
    <t xml:space="preserve">2024-08-21</t>
  </si>
  <si>
    <t xml:space="preserve">OSOPSI512L700177J</t>
  </si>
  <si>
    <t xml:space="preserve">i5 - 8GB - 256 GB</t>
  </si>
  <si>
    <t xml:space="preserve">U15280503744</t>
  </si>
  <si>
    <t xml:space="preserve">2024</t>
  </si>
  <si>
    <t xml:space="preserve">1-15</t>
  </si>
  <si>
    <t xml:space="preserve">U15280503722</t>
  </si>
  <si>
    <t xml:space="preserve">OS68TL7240300500</t>
  </si>
  <si>
    <t xml:space="preserve">5 cable HDMI, 1 cable de alimentación, 1 cable táctil</t>
  </si>
  <si>
    <t xml:space="preserve">2024-12-07</t>
  </si>
  <si>
    <t xml:space="preserve">OSOPSI512L700137J</t>
  </si>
  <si>
    <t xml:space="preserve">U15280509717</t>
  </si>
  <si>
    <t xml:space="preserve">2-11</t>
  </si>
  <si>
    <t xml:space="preserve">86"</t>
  </si>
  <si>
    <t xml:space="preserve">U15280502431</t>
  </si>
  <si>
    <t xml:space="preserve">OS68T7240900168</t>
  </si>
  <si>
    <t xml:space="preserve">T7-86</t>
  </si>
  <si>
    <t xml:space="preserve">6 cable HDMI, 1 cable de alimentación, 1 cable táctil</t>
  </si>
  <si>
    <t xml:space="preserve">MCS-20241225017</t>
  </si>
  <si>
    <t xml:space="preserve">U15280503762</t>
  </si>
  <si>
    <t xml:space="preserve">2-12</t>
  </si>
  <si>
    <t xml:space="preserve">75"</t>
  </si>
  <si>
    <t xml:space="preserve">U15280503800</t>
  </si>
  <si>
    <t xml:space="preserve">OS99T7250300186</t>
  </si>
  <si>
    <t xml:space="preserve">T7-75</t>
  </si>
  <si>
    <t xml:space="preserve">7 cable HDMI, 1 cable de alimentación, 1 cable táctil</t>
  </si>
  <si>
    <t xml:space="preserve">2025-07-17</t>
  </si>
  <si>
    <t xml:space="preserve">OSOPSI711L704103J</t>
  </si>
  <si>
    <t xml:space="preserve">U15200503606</t>
  </si>
  <si>
    <t xml:space="preserve">2-13</t>
  </si>
  <si>
    <t xml:space="preserve">U15280502571</t>
  </si>
  <si>
    <t xml:space="preserve">OS99T7250300240</t>
  </si>
  <si>
    <t xml:space="preserve">8 cable HDMI, 1 cable de alimentación, 1 cable táctil</t>
  </si>
  <si>
    <t xml:space="preserve">2025-11-07</t>
  </si>
  <si>
    <t xml:space="preserve">2025-11-18</t>
  </si>
  <si>
    <t xml:space="preserve">OSOPSI711L704323J</t>
  </si>
  <si>
    <t xml:space="preserve">U15200503639</t>
  </si>
  <si>
    <t xml:space="preserve">2-17</t>
  </si>
  <si>
    <t xml:space="preserve">U15280503732</t>
  </si>
  <si>
    <t xml:space="preserve">OS99T7240700921</t>
  </si>
  <si>
    <t xml:space="preserve">9 cable HDMI, 1 cable de alimentación, 1 cable táctil</t>
  </si>
  <si>
    <t xml:space="preserve">OSOPSI512L700151J</t>
  </si>
  <si>
    <t xml:space="preserve">U15280503745</t>
  </si>
  <si>
    <t xml:space="preserve">2-18</t>
  </si>
  <si>
    <t xml:space="preserve">U15280502432</t>
  </si>
  <si>
    <t xml:space="preserve">OS68T7240900102</t>
  </si>
  <si>
    <t xml:space="preserve">10 cable HDMI, 1 cable de alimentación, 1 cable táctil</t>
  </si>
  <si>
    <t xml:space="preserve">MCS-20241225010</t>
  </si>
  <si>
    <t xml:space="preserve">U15280503772</t>
  </si>
  <si>
    <t xml:space="preserve">3-12</t>
  </si>
  <si>
    <t xml:space="preserve">U15280502574</t>
  </si>
  <si>
    <t xml:space="preserve">OS99T7250300370</t>
  </si>
  <si>
    <t xml:space="preserve">11 cable HDMI, 1 cable de alimentación, 1 cable táctil</t>
  </si>
  <si>
    <t xml:space="preserve">OSOPSI711L703254J</t>
  </si>
  <si>
    <t xml:space="preserve">U15200503640</t>
  </si>
  <si>
    <t xml:space="preserve">3-13</t>
  </si>
  <si>
    <t xml:space="preserve">U15280503733</t>
  </si>
  <si>
    <t xml:space="preserve">OS99T7240700963</t>
  </si>
  <si>
    <t xml:space="preserve">12 cable HDMI, 1 cable de alimentación, 1 cable táctil</t>
  </si>
  <si>
    <t xml:space="preserve">2024-12-06</t>
  </si>
  <si>
    <t xml:space="preserve">OSOPSI512L700107J</t>
  </si>
  <si>
    <t xml:space="preserve">U15280503718</t>
  </si>
  <si>
    <t xml:space="preserve">3-14</t>
  </si>
  <si>
    <t xml:space="preserve">U15280502572</t>
  </si>
  <si>
    <t xml:space="preserve">OS99T7250300334</t>
  </si>
  <si>
    <t xml:space="preserve">13 cable HDMI, 1 cable de alimentación, 1 cable táctil</t>
  </si>
  <si>
    <t xml:space="preserve">OSOPSI711L704102J</t>
  </si>
  <si>
    <t xml:space="preserve">U15200503638</t>
  </si>
  <si>
    <t xml:space="preserve">4-11</t>
  </si>
  <si>
    <t xml:space="preserve">Pendiente</t>
  </si>
  <si>
    <t xml:space="preserve">14 cable HDMI, 1 cable de alimentación, 1 cable táctil</t>
  </si>
  <si>
    <t xml:space="preserve">2026-07-27</t>
  </si>
  <si>
    <t xml:space="preserve">2026</t>
  </si>
  <si>
    <t xml:space="preserve">4-12</t>
  </si>
  <si>
    <t xml:space="preserve">15 cable HDMI, 1 cable de alimentación, 1 cable táctil</t>
  </si>
  <si>
    <t xml:space="preserve">4-13</t>
  </si>
  <si>
    <t xml:space="preserve">16 cable HDMI, 1 cable de alimentación, 1 cable táctil</t>
  </si>
  <si>
    <t xml:space="preserve">4-14</t>
  </si>
  <si>
    <t xml:space="preserve">17 cable HDMI, 1 cable de alimentación, 1 cable táctil</t>
  </si>
  <si>
    <t xml:space="preserve">4-15</t>
  </si>
  <si>
    <t xml:space="preserve">18 cable HDMI, 1 cable de alimentación, 1 cable táctil</t>
  </si>
  <si>
    <t xml:space="preserve">5-11</t>
  </si>
  <si>
    <t xml:space="preserve">19 cable HDMI, 1 cable de alimentación, 1 cable táctil</t>
  </si>
  <si>
    <t xml:space="preserve">5-12</t>
  </si>
  <si>
    <t xml:space="preserve">20 cable HDMI, 1 cable de alimentación, 1 cable táctil</t>
  </si>
  <si>
    <t xml:space="preserve">5-13</t>
  </si>
  <si>
    <t xml:space="preserve">21 cable HDMI, 1 cable de alimentación, 1 cable táctil</t>
  </si>
  <si>
    <t xml:space="preserve">5-14</t>
  </si>
  <si>
    <t xml:space="preserve">U15280502570</t>
  </si>
  <si>
    <t xml:space="preserve">OS99T7250300156</t>
  </si>
  <si>
    <t xml:space="preserve">22 cable HDMI, 1 cable de alimentación, 1 cable táctil</t>
  </si>
  <si>
    <t xml:space="preserve">OSOPSI711L703255J</t>
  </si>
  <si>
    <t xml:space="preserve">U15200503637</t>
  </si>
  <si>
    <t xml:space="preserve">5-15</t>
  </si>
  <si>
    <t xml:space="preserve">23 cable HDMI, 1 cable de alimentación, 1 cable táctil</t>
  </si>
  <si>
    <t xml:space="preserve">6-11</t>
  </si>
  <si>
    <t xml:space="preserve">U15280502551</t>
  </si>
  <si>
    <t xml:space="preserve">YN200061G07150098</t>
  </si>
  <si>
    <t xml:space="preserve">T6-65</t>
  </si>
  <si>
    <t xml:space="preserve">24 cable HDMI, 1 cable de alimentación, 1 cable táctil</t>
  </si>
  <si>
    <t xml:space="preserve">2022-01-01</t>
  </si>
  <si>
    <t xml:space="preserve">2022-10-15</t>
  </si>
  <si>
    <t xml:space="preserve">YW190064F03010074</t>
  </si>
  <si>
    <t xml:space="preserve">i3 - 8GB - 512 GB</t>
  </si>
  <si>
    <t xml:space="preserve">2024-01-01</t>
  </si>
  <si>
    <t xml:space="preserve">U15280502366</t>
  </si>
  <si>
    <t xml:space="preserve">2022</t>
  </si>
  <si>
    <t xml:space="preserve">6-12</t>
  </si>
  <si>
    <t xml:space="preserve">25 cable HDMI, 1 cable de alimentación, 1 cable táctil</t>
  </si>
  <si>
    <t xml:space="preserve">6-13</t>
  </si>
  <si>
    <t xml:space="preserve">26 cable HDMI, 1 cable de alimentación, 1 cable táctil</t>
  </si>
  <si>
    <t xml:space="preserve">6-14</t>
  </si>
  <si>
    <t xml:space="preserve">27 cable HDMI, 1 cable de alimentación, 1 cable táctil</t>
  </si>
  <si>
    <t xml:space="preserve">6-15</t>
  </si>
  <si>
    <t xml:space="preserve">28 cable HDMI, 1 cable de alimentación, 1 cable táctil</t>
  </si>
  <si>
    <t xml:space="preserve">7-12</t>
  </si>
  <si>
    <t xml:space="preserve">U15280503798</t>
  </si>
  <si>
    <t xml:space="preserve">OS99T7250300164</t>
  </si>
  <si>
    <t xml:space="preserve">29 cable HDMI, 1 cable de alimentación, 1 cable táctil</t>
  </si>
  <si>
    <t xml:space="preserve">2025-07-14</t>
  </si>
  <si>
    <t xml:space="preserve">2025-07-18</t>
  </si>
  <si>
    <t xml:space="preserve">OSOPSI711L704072J</t>
  </si>
  <si>
    <t xml:space="preserve">7-13</t>
  </si>
  <si>
    <t xml:space="preserve">U15280502442</t>
  </si>
  <si>
    <t xml:space="preserve">OS68T7240900182</t>
  </si>
  <si>
    <t xml:space="preserve">30 cable HDMI, 1 cable de alimentación, 1 cable táctil</t>
  </si>
  <si>
    <t xml:space="preserve">MCS-20241225005</t>
  </si>
  <si>
    <t xml:space="preserve">U15280503774</t>
  </si>
  <si>
    <t xml:space="preserve">7-14</t>
  </si>
  <si>
    <t xml:space="preserve">OS99T7250300233</t>
  </si>
  <si>
    <t xml:space="preserve">31 cable HDMI, 1 cable de alimentación, 1 cable táctil</t>
  </si>
  <si>
    <t xml:space="preserve">2025-09-15</t>
  </si>
  <si>
    <t xml:space="preserve">OSOPSI711L704167J</t>
  </si>
  <si>
    <t xml:space="preserve">8-11</t>
  </si>
  <si>
    <t xml:space="preserve">U15280502434</t>
  </si>
  <si>
    <t xml:space="preserve">OS68T7240900020</t>
  </si>
  <si>
    <t xml:space="preserve">32 cable HDMI, 1 cable de alimentación, 1 cable táctil</t>
  </si>
  <si>
    <t xml:space="preserve">MCS-20241225007</t>
  </si>
  <si>
    <t xml:space="preserve">U15280503768</t>
  </si>
  <si>
    <t xml:space="preserve">8-21</t>
  </si>
  <si>
    <t xml:space="preserve">U15280503799</t>
  </si>
  <si>
    <t xml:space="preserve">OS99T7250300189</t>
  </si>
  <si>
    <t xml:space="preserve">33 cable HDMI, 1 cable de alimentación, 1 cable táctil</t>
  </si>
  <si>
    <t xml:space="preserve">OSOPSI711L703473J</t>
  </si>
  <si>
    <t xml:space="preserve">9-22</t>
  </si>
  <si>
    <t xml:space="preserve">U15280502436</t>
  </si>
  <si>
    <t xml:space="preserve">OS99TL7240700143</t>
  </si>
  <si>
    <t xml:space="preserve">34 cable HDMI, 1 cable de alimentación, 1 cable táctil</t>
  </si>
  <si>
    <t xml:space="preserve">MCS-20241225001</t>
  </si>
  <si>
    <t xml:space="preserve">U15280503766</t>
  </si>
  <si>
    <t xml:space="preserve">9-26</t>
  </si>
  <si>
    <t xml:space="preserve">U15280502573</t>
  </si>
  <si>
    <t xml:space="preserve">OS99T7250300265</t>
  </si>
  <si>
    <t xml:space="preserve">35 cable HDMI, 1 cable de alimentación, 1 cable táctil</t>
  </si>
  <si>
    <t xml:space="preserve">OSOPSI711L703925J</t>
  </si>
  <si>
    <t xml:space="preserve">U15200503636</t>
  </si>
  <si>
    <t xml:space="preserve">CEP-17</t>
  </si>
  <si>
    <t xml:space="preserve">U15280502435</t>
  </si>
  <si>
    <t xml:space="preserve">OS68TL7240700746</t>
  </si>
  <si>
    <t xml:space="preserve">36 cable HDMI, 1 cable de alimentación, 1 cable táctil</t>
  </si>
  <si>
    <t xml:space="preserve">MCS-20241225009</t>
  </si>
  <si>
    <t xml:space="preserve">U15280503764</t>
  </si>
  <si>
    <t xml:space="preserve">CEP-21</t>
  </si>
  <si>
    <t xml:space="preserve">U15280502550</t>
  </si>
  <si>
    <t xml:space="preserve">OS99TL7240700067</t>
  </si>
  <si>
    <t xml:space="preserve">37 cable HDMI, 1 cable de alimentación, 1 cable táctil</t>
  </si>
  <si>
    <t xml:space="preserve">2025-06-04</t>
  </si>
  <si>
    <t xml:space="preserve">MCS-20241225016</t>
  </si>
  <si>
    <t xml:space="preserve">U15280503763</t>
  </si>
  <si>
    <t xml:space="preserve">CEP-22</t>
  </si>
  <si>
    <t xml:space="preserve">U15280502437</t>
  </si>
  <si>
    <t xml:space="preserve">OS68TL7240700792</t>
  </si>
  <si>
    <t xml:space="preserve">38 cable HDMI, 1 cable de alimentación, 1 cable táctil</t>
  </si>
  <si>
    <t xml:space="preserve">MCS-20241225020</t>
  </si>
  <si>
    <t xml:space="preserve">U15280503770</t>
  </si>
  <si>
    <t xml:space="preserve">CEP-23</t>
  </si>
  <si>
    <t xml:space="preserve">U15280502440</t>
  </si>
  <si>
    <t xml:space="preserve">OS68TL7240700703</t>
  </si>
  <si>
    <t xml:space="preserve">39 cable HDMI, 1 cable de alimentación, 1 cable táctil</t>
  </si>
  <si>
    <t xml:space="preserve">MCS-20241225018</t>
  </si>
  <si>
    <t xml:space="preserve">U15280503771</t>
  </si>
  <si>
    <t xml:space="preserve">CEP-26</t>
  </si>
  <si>
    <t xml:space="preserve">U15280502439</t>
  </si>
  <si>
    <t xml:space="preserve">OS68TL7240700803</t>
  </si>
  <si>
    <t xml:space="preserve">40 cable HDMI, 1 cable de alimentación, 1 cable táctil</t>
  </si>
  <si>
    <t xml:space="preserve">MCS-20241225002</t>
  </si>
  <si>
    <t xml:space="preserve">U15280503765</t>
  </si>
  <si>
    <t xml:space="preserve">CEP-27</t>
  </si>
  <si>
    <t xml:space="preserve">U152405O1854</t>
  </si>
  <si>
    <t xml:space="preserve">203CVMR00019</t>
  </si>
  <si>
    <t xml:space="preserve">IDB-65</t>
  </si>
  <si>
    <t xml:space="preserve">41 cable HDMI, 1 cable de alimentación, 1 cable táctil</t>
  </si>
  <si>
    <t xml:space="preserve">2024-11-15</t>
  </si>
  <si>
    <t xml:space="preserve">2024-09-26</t>
  </si>
  <si>
    <t xml:space="preserve">ISS064I5M8S5X216S0200</t>
  </si>
  <si>
    <t xml:space="preserve">i5 - 16GB - 256 GB</t>
  </si>
  <si>
    <t xml:space="preserve">U15200501572</t>
  </si>
  <si>
    <t xml:space="preserve">CEP-29</t>
  </si>
  <si>
    <t xml:space="preserve">U15280502441</t>
  </si>
  <si>
    <t xml:space="preserve">OS99TL7240700134</t>
  </si>
  <si>
    <t xml:space="preserve">42 cable HDMI, 1 cable de alimentación, 1 cable táctil</t>
  </si>
  <si>
    <t xml:space="preserve">MCS-20241225008</t>
  </si>
  <si>
    <t xml:space="preserve">U15280503777</t>
  </si>
  <si>
    <t xml:space="preserve">CEP-211</t>
  </si>
  <si>
    <t xml:space="preserve">U15280503724</t>
  </si>
  <si>
    <t xml:space="preserve">OS68TL7240300457</t>
  </si>
  <si>
    <t xml:space="preserve">43 cable HDMI, 1 cable de alimentación, 1 cable táctil</t>
  </si>
  <si>
    <t xml:space="preserve">2024-12-09</t>
  </si>
  <si>
    <t xml:space="preserve">OSOPSI512L700138J</t>
  </si>
  <si>
    <t xml:space="preserve">U15280503743</t>
  </si>
  <si>
    <t xml:space="preserve">CEP-212</t>
  </si>
  <si>
    <t xml:space="preserve">U15280502401</t>
  </si>
  <si>
    <t xml:space="preserve">203CVZP00013</t>
  </si>
  <si>
    <t xml:space="preserve">44 cable HDMI, 1 cable de alimentación, 1 cable táctil</t>
  </si>
  <si>
    <t xml:space="preserve">2024-11-11</t>
  </si>
  <si>
    <t xml:space="preserve">2023-06-09</t>
  </si>
  <si>
    <t xml:space="preserve">ISS084X22AT0049</t>
  </si>
  <si>
    <t xml:space="preserve">CEP-35</t>
  </si>
  <si>
    <t xml:space="preserve">U15280502433</t>
  </si>
  <si>
    <t xml:space="preserve">OS99TL7240700063</t>
  </si>
  <si>
    <t xml:space="preserve">45 cable HDMI, 1 cable de alimentación, 1 cable táctil</t>
  </si>
  <si>
    <t xml:space="preserve">MCS-20241225003</t>
  </si>
  <si>
    <t xml:space="preserve">U15280503769</t>
  </si>
  <si>
    <t xml:space="preserve">DER-11</t>
  </si>
  <si>
    <t xml:space="preserve">U15280502607</t>
  </si>
  <si>
    <t xml:space="preserve">OS99T7260101077</t>
  </si>
  <si>
    <t xml:space="preserve">46 cable HDMI, 1 cable de alimentación, 1 cable táctil</t>
  </si>
  <si>
    <t xml:space="preserve">2026-06-02</t>
  </si>
  <si>
    <t xml:space="preserve">U15200503689</t>
  </si>
  <si>
    <t xml:space="preserve">DER-21</t>
  </si>
  <si>
    <t xml:space="preserve">U15280502606</t>
  </si>
  <si>
    <t xml:space="preserve">OS99T7260101080</t>
  </si>
  <si>
    <t xml:space="preserve">47 cable HDMI, 1 cable de alimentación, 1 cable táctil</t>
  </si>
  <si>
    <t xml:space="preserve">U15200503688</t>
  </si>
  <si>
    <t xml:space="preserve">DER-22</t>
  </si>
  <si>
    <t xml:space="preserve">U15280502601</t>
  </si>
  <si>
    <t xml:space="preserve">OS99T7260101058</t>
  </si>
  <si>
    <t xml:space="preserve">48 cable HDMI, 1 cable de alimentación, 1 cable táctil</t>
  </si>
  <si>
    <t xml:space="preserve">U15200503683</t>
  </si>
  <si>
    <t xml:space="preserve">DER-31</t>
  </si>
  <si>
    <t xml:space="preserve">U15280502602</t>
  </si>
  <si>
    <t xml:space="preserve">OS99T7260101078</t>
  </si>
  <si>
    <t xml:space="preserve">49 cable HDMI, 1 cable de alimentación, 1 cable táctil</t>
  </si>
  <si>
    <t xml:space="preserve">U15200503684</t>
  </si>
  <si>
    <t xml:space="preserve">DER-32</t>
  </si>
  <si>
    <t xml:space="preserve">U15280502603</t>
  </si>
  <si>
    <t xml:space="preserve">OS99T7260101085</t>
  </si>
  <si>
    <t xml:space="preserve">50 cable HDMI, 1 cable de alimentación, 1 cable táctil</t>
  </si>
  <si>
    <t xml:space="preserve">U15200503685</t>
  </si>
  <si>
    <t xml:space="preserve">DER-35</t>
  </si>
  <si>
    <t xml:space="preserve">U15280502604</t>
  </si>
  <si>
    <t xml:space="preserve">OS99T7260101076</t>
  </si>
  <si>
    <t xml:space="preserve">51 cable HDMI, 1 cable de alimentación, 1 cable táctil</t>
  </si>
  <si>
    <t xml:space="preserve">U15200503686</t>
  </si>
  <si>
    <t xml:space="preserve">DER-36</t>
  </si>
  <si>
    <t xml:space="preserve">U15280502605</t>
  </si>
  <si>
    <t xml:space="preserve">OS99T7260101081</t>
  </si>
  <si>
    <t xml:space="preserve">52 cable HDMI, 1 cable de alimentación, 1 cable táctil</t>
  </si>
  <si>
    <t xml:space="preserve">U15200503687</t>
  </si>
  <si>
    <t xml:space="preserve">IDI-11</t>
  </si>
  <si>
    <t xml:space="preserve">U15280502599</t>
  </si>
  <si>
    <t xml:space="preserve">OS99T7260101086</t>
  </si>
  <si>
    <t xml:space="preserve">53 cable HDMI, 1 cable de alimentación, 1 cable táctil</t>
  </si>
  <si>
    <t xml:space="preserve">U15200503681</t>
  </si>
  <si>
    <t xml:space="preserve">IDI-14</t>
  </si>
  <si>
    <t xml:space="preserve">U15280502600</t>
  </si>
  <si>
    <t xml:space="preserve">OS99T7260101083</t>
  </si>
  <si>
    <t xml:space="preserve">54 cable HDMI, 1 cable de alimentación, 1 cable táctil</t>
  </si>
  <si>
    <t xml:space="preserve">U15200503682</t>
  </si>
  <si>
    <t xml:space="preserve">MULTIMEDIA</t>
  </si>
  <si>
    <t xml:space="preserve">55 cable HDMI, 1 cable de alimentación, 1 cable táctil</t>
  </si>
  <si>
    <t xml:space="preserve">AUDITORIO INGENIERIA</t>
  </si>
  <si>
    <t xml:space="preserve">U15280502292</t>
  </si>
  <si>
    <t xml:space="preserve">YN210079H07170196WHO</t>
  </si>
  <si>
    <t xml:space="preserve">T6-86</t>
  </si>
  <si>
    <t xml:space="preserve">56 cable HDMI, 1 cable de alimentación, 1 cable táctil</t>
  </si>
  <si>
    <t xml:space="preserve">2023-01-01</t>
  </si>
  <si>
    <t xml:space="preserve">2022-04-30</t>
  </si>
  <si>
    <t xml:space="preserve">YW210529H10150312</t>
  </si>
  <si>
    <t xml:space="preserve">i5 - 8GB - 512 GB</t>
  </si>
  <si>
    <t xml:space="preserve">U15200500506</t>
  </si>
  <si>
    <t xml:space="preserve">2023</t>
  </si>
  <si>
    <t xml:space="preserve">RECTORIA 2 PISO</t>
  </si>
  <si>
    <t xml:space="preserve">57 cable HDMI, 1 cable de alimentación, 1 cable táctil</t>
  </si>
  <si>
    <t xml:space="preserve">2026-01-14</t>
  </si>
  <si>
    <t xml:space="preserve">OFICINA RECTORIA</t>
  </si>
  <si>
    <t xml:space="preserve">U15280502556</t>
  </si>
  <si>
    <t xml:space="preserve">OS99T7250300064</t>
  </si>
  <si>
    <t xml:space="preserve">58 cable HDMI, 1 cable de alimentación, 1 cable táctil</t>
  </si>
  <si>
    <t xml:space="preserve">OSOPSI711L704090J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</si>
</sst>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C4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0F2C4C"/>
      <name val="Arial"/>
      <family val="0"/>
      <charset val="1"/>
    </font>
    <font>
      <b val="true"/>
      <sz val="12"/>
      <color rgb="FF0F2C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C6FFF"/>
        <bgColor rgb="FF4F81BD"/>
      </patternFill>
    </fill>
    <fill>
      <patternFill patternType="solid">
        <fgColor rgb="FFEAEEFF"/>
        <bgColor rgb="FFF9F9F9"/>
      </patternFill>
    </fill>
    <fill>
      <patternFill patternType="solid">
        <fgColor rgb="FF0F2C4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BE0DC"/>
        </patternFill>
      </fill>
    </dxf>
    <dxf>
      <fill>
        <patternFill>
          <bgColor rgb="FFD9F2E6"/>
        </patternFill>
      </fill>
    </dxf>
    <dxf>
      <fill>
        <patternFill patternType="solid">
          <fgColor rgb="FF0F2C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E6"/>
          <bgColor rgb="FF000000"/>
        </patternFill>
      </fill>
    </dxf>
    <dxf>
      <fill>
        <patternFill patternType="solid">
          <fgColor rgb="FFFBE0DC"/>
          <bgColor rgb="FF000000"/>
        </patternFill>
      </fill>
    </dxf>
    <dxf>
      <fill>
        <patternFill patternType="solid">
          <fgColor rgb="FF0F6B47"/>
          <bgColor rgb="FF000000"/>
        </patternFill>
      </fill>
    </dxf>
    <dxf>
      <fill>
        <patternFill patternType="solid">
          <fgColor rgb="FF9C2A1B"/>
          <bgColor rgb="FF000000"/>
        </patternFill>
      </fill>
    </dxf>
    <dxf>
      <font>
        <color rgb="FF0F6B47"/>
      </font>
      <fill>
        <patternFill>
          <bgColor rgb="FFD9F2E6"/>
        </patternFill>
      </fill>
    </dxf>
    <dxf>
      <font>
        <color rgb="FF9C2A1B"/>
      </font>
      <fill>
        <patternFill>
          <bgColor rgb="FFFBE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47"/>
      <rgbColor rgb="FFBFBFBF"/>
      <rgbColor rgb="FF878787"/>
      <rgbColor rgb="FF9999FF"/>
      <rgbColor rgb="FFC0504D"/>
      <rgbColor rgb="FFF9F9F9"/>
      <rgbColor rgb="FFD9F2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F"/>
      <rgbColor rgb="FFCCFFCC"/>
      <rgbColor rgb="FFFFFF99"/>
      <rgbColor rgb="FF99CCFF"/>
      <rgbColor rgb="FFFF99CC"/>
      <rgbColor rgb="FFCC99FF"/>
      <rgbColor rgb="FFFBE0DC"/>
      <rgbColor rgb="FF4C6FFF"/>
      <rgbColor rgb="FF33CCCC"/>
      <rgbColor rgb="FF99CC00"/>
      <rgbColor rgb="FFFFCC00"/>
      <rgbColor rgb="FFFF9900"/>
      <rgbColor rgb="FFFF6600"/>
      <rgbColor rgb="FF666666"/>
      <rgbColor rgb="FF969696"/>
      <rgbColor rgb="FF0F2C4C"/>
      <rgbColor rgb="FF4F81BD"/>
      <rgbColor rgb="FF003300"/>
      <rgbColor rgb="FF333300"/>
      <rgbColor rgb="FF9C2A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Instaladas vs Pendientes por Bloque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Instaladas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Dashboard!$B$11:$B$23</c:f>
              <c:strCache>
                <c:ptCount val="13"/>
                <c:pt idx="0">
                  <c:v>Bloque 1</c:v>
                </c:pt>
                <c:pt idx="1">
                  <c:v>Bloque 2</c:v>
                </c:pt>
                <c:pt idx="2">
                  <c:v>Bloque 3</c:v>
                </c:pt>
                <c:pt idx="3">
                  <c:v>Bloque 4</c:v>
                </c:pt>
                <c:pt idx="4">
                  <c:v>Bloque 5</c:v>
                </c:pt>
                <c:pt idx="5">
                  <c:v>Bloque 6</c:v>
                </c:pt>
                <c:pt idx="6">
                  <c:v>Bloque 7</c:v>
                </c:pt>
                <c:pt idx="7">
                  <c:v>Bloque 8</c:v>
                </c:pt>
                <c:pt idx="8">
                  <c:v>Bloque 9</c:v>
                </c:pt>
                <c:pt idx="9">
                  <c:v>CEP</c:v>
                </c:pt>
                <c:pt idx="10">
                  <c:v>Derecho</c:v>
                </c:pt>
                <c:pt idx="11">
                  <c:v>Idiomas</c:v>
                </c:pt>
                <c:pt idx="12">
                  <c:v>Otros</c:v>
                </c:pt>
              </c:strCache>
            </c:strRef>
          </c:cat>
          <c:val>
            <c:numRef>
              <c:f>Dashboard!$D$11:$D$23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0">
                  <c:v>7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</c:ser>
        <c:ser>
          <c:idx val="1"/>
          <c:order val="1"/>
          <c:tx>
            <c:strRef>
              <c:f>Dashboard!E10</c:f>
              <c:strCache>
                <c:ptCount val="1"/>
                <c:pt idx="0">
                  <c:v>Pendientes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Dashboard!$B$11:$B$23</c:f>
              <c:strCache>
                <c:ptCount val="13"/>
                <c:pt idx="0">
                  <c:v>Bloque 1</c:v>
                </c:pt>
                <c:pt idx="1">
                  <c:v>Bloque 2</c:v>
                </c:pt>
                <c:pt idx="2">
                  <c:v>Bloque 3</c:v>
                </c:pt>
                <c:pt idx="3">
                  <c:v>Bloque 4</c:v>
                </c:pt>
                <c:pt idx="4">
                  <c:v>Bloque 5</c:v>
                </c:pt>
                <c:pt idx="5">
                  <c:v>Bloque 6</c:v>
                </c:pt>
                <c:pt idx="6">
                  <c:v>Bloque 7</c:v>
                </c:pt>
                <c:pt idx="7">
                  <c:v>Bloque 8</c:v>
                </c:pt>
                <c:pt idx="8">
                  <c:v>Bloque 9</c:v>
                </c:pt>
                <c:pt idx="9">
                  <c:v>CEP</c:v>
                </c:pt>
                <c:pt idx="10">
                  <c:v>Derecho</c:v>
                </c:pt>
                <c:pt idx="11">
                  <c:v>Idiomas</c:v>
                </c:pt>
                <c:pt idx="12">
                  <c:v>Otros</c:v>
                </c:pt>
              </c:strCache>
            </c:strRef>
          </c:cat>
          <c:val>
            <c:numRef>
              <c:f>Dashboard!$E$11:$E$23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</c:numCache>
            </c:numRef>
          </c:val>
        </c:ser>
        <c:gapWidth val="150"/>
        <c:overlap val="0"/>
        <c:axId val="63746105"/>
        <c:axId val="33940316"/>
      </c:barChart>
      <c:catAx>
        <c:axId val="63746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40316"/>
        <c:crosses val="autoZero"/>
        <c:auto val="1"/>
        <c:lblAlgn val="ctr"/>
        <c:lblOffset val="100"/>
        <c:noMultiLvlLbl val="0"/>
      </c:catAx>
      <c:valAx>
        <c:axId val="339403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46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Estado General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Dashboard!D5</c:f>
              <c:strCache>
                <c:ptCount val="1"/>
                <c:pt idx="0">
                  <c:v>Instaladas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Dashboard!$D$6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</c:ser>
        <c:ser>
          <c:idx val="1"/>
          <c:order val="1"/>
          <c:tx>
            <c:strRef>
              <c:f>Dashboard!E5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Dashboard!$E$6</c:f>
              <c:numCache>
                <c:formatCode>General</c:formatCode>
                <c:ptCount val="1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131040</xdr:rowOff>
    </xdr:from>
    <xdr:to>
      <xdr:col>20</xdr:col>
      <xdr:colOff>455760</xdr:colOff>
      <xdr:row>28</xdr:row>
      <xdr:rowOff>90000</xdr:rowOff>
    </xdr:to>
    <xdr:graphicFrame>
      <xdr:nvGraphicFramePr>
        <xdr:cNvPr id="0" name="Chart 1"/>
        <xdr:cNvGraphicFramePr/>
      </xdr:nvGraphicFramePr>
      <xdr:xfrm>
        <a:off x="5709240" y="176220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130680</xdr:rowOff>
    </xdr:from>
    <xdr:to>
      <xdr:col>13</xdr:col>
      <xdr:colOff>416160</xdr:colOff>
      <xdr:row>37</xdr:row>
      <xdr:rowOff>153000</xdr:rowOff>
    </xdr:to>
    <xdr:graphicFrame>
      <xdr:nvGraphicFramePr>
        <xdr:cNvPr id="1" name="Chart 2"/>
        <xdr:cNvGraphicFramePr/>
      </xdr:nvGraphicFramePr>
      <xdr:xfrm>
        <a:off x="5709240" y="46195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Inventario" displayName="TInventario" ref="A1:P59" headerRowCount="1" totalsRowCount="0" totalsRowShown="0">
  <autoFilter ref="A1:P59"/>
  <tableColumns count="16">
    <tableColumn id="1" name="ID"/>
    <tableColumn id="2" name="Bloque / Zona"/>
    <tableColumn id="3" name="Salón"/>
    <tableColumn id="4" name="Estado"/>
    <tableColumn id="5" name="Pulgadas"/>
    <tableColumn id="6" name="Activo Fijo Pantalla"/>
    <tableColumn id="7" name="Serial Pantalla"/>
    <tableColumn id="8" name="Modelo"/>
    <tableColumn id="9" name="Accesorios"/>
    <tableColumn id="10" name="Fecha Instalación"/>
    <tableColumn id="11" name="Fecha Iceberg"/>
    <tableColumn id="12" name="Serial OPS"/>
    <tableColumn id="13" name="Características OPS"/>
    <tableColumn id="14" name="Fecha OPS"/>
    <tableColumn id="15" name="Activo Fijo UPS"/>
    <tableColumn id="16" name="Añ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3.75" hidden="false" customHeight="true" outlineLevel="0" collapsed="false">
      <c r="B6" s="4" t="n">
        <f aca="false">COUNTA(Inventario!A2:A59)</f>
        <v>58</v>
      </c>
      <c r="C6" s="4"/>
      <c r="D6" s="4" t="n">
        <f aca="false">COUNTIF(Inventario!D2:D59,"Instalada")</f>
        <v>42</v>
      </c>
      <c r="E6" s="4"/>
      <c r="F6" s="4" t="n">
        <f aca="false">COUNTIF(Inventario!D2:D59,"Pendiente")</f>
        <v>16</v>
      </c>
      <c r="G6" s="4"/>
      <c r="H6" s="5" t="n">
        <f aca="false">D6/B6</f>
        <v>0.724137931034483</v>
      </c>
      <c r="I6" s="5"/>
    </row>
    <row r="9" customFormat="false" ht="15" hidden="false" customHeight="false" outlineLevel="0" collapsed="false">
      <c r="B9" s="6" t="s">
        <v>6</v>
      </c>
    </row>
    <row r="10" customFormat="false" ht="15" hidden="false" customHeight="false" outlineLevel="0" collapsed="false">
      <c r="B10" s="7" t="s">
        <v>7</v>
      </c>
      <c r="C10" s="7" t="s">
        <v>8</v>
      </c>
      <c r="D10" s="7" t="s">
        <v>3</v>
      </c>
      <c r="E10" s="7" t="s">
        <v>4</v>
      </c>
      <c r="F10" s="7" t="s">
        <v>9</v>
      </c>
    </row>
    <row r="11" customFormat="false" ht="15" hidden="false" customHeight="false" outlineLevel="0" collapsed="false">
      <c r="B11" s="8" t="s">
        <v>10</v>
      </c>
      <c r="C11" s="9" t="n">
        <f aca="false">COUNTIF(Inventario!B2:B59,B11)</f>
        <v>5</v>
      </c>
      <c r="D11" s="9" t="n">
        <f aca="false">COUNTIFS(Inventario!B2:B59,B11,Inventario!D2:D59,"Instalada")</f>
        <v>5</v>
      </c>
      <c r="E11" s="9" t="n">
        <f aca="false">C11-D11</f>
        <v>0</v>
      </c>
      <c r="F11" s="10" t="n">
        <f aca="false">IF(C11=0,0,D11/C11)</f>
        <v>1</v>
      </c>
    </row>
    <row r="12" customFormat="false" ht="15" hidden="false" customHeight="false" outlineLevel="0" collapsed="false">
      <c r="B12" s="8" t="s">
        <v>11</v>
      </c>
      <c r="C12" s="9" t="n">
        <f aca="false">COUNTIF(Inventario!B2:B59,B12)</f>
        <v>5</v>
      </c>
      <c r="D12" s="9" t="n">
        <f aca="false">COUNTIFS(Inventario!B2:B59,B12,Inventario!D2:D59,"Instalada")</f>
        <v>5</v>
      </c>
      <c r="E12" s="9" t="n">
        <f aca="false">C12-D12</f>
        <v>0</v>
      </c>
      <c r="F12" s="10" t="n">
        <f aca="false">IF(C12=0,0,D12/C12)</f>
        <v>1</v>
      </c>
    </row>
    <row r="13" customFormat="false" ht="15" hidden="false" customHeight="false" outlineLevel="0" collapsed="false">
      <c r="B13" s="8" t="s">
        <v>12</v>
      </c>
      <c r="C13" s="9" t="n">
        <f aca="false">COUNTIF(Inventario!B2:B59,B13)</f>
        <v>3</v>
      </c>
      <c r="D13" s="9" t="n">
        <f aca="false">COUNTIFS(Inventario!B2:B59,B13,Inventario!D2:D59,"Instalada")</f>
        <v>3</v>
      </c>
      <c r="E13" s="9" t="n">
        <f aca="false">C13-D13</f>
        <v>0</v>
      </c>
      <c r="F13" s="10" t="n">
        <f aca="false">IF(C13=0,0,D13/C13)</f>
        <v>1</v>
      </c>
    </row>
    <row r="14" customFormat="false" ht="15" hidden="false" customHeight="false" outlineLevel="0" collapsed="false">
      <c r="B14" s="8" t="s">
        <v>13</v>
      </c>
      <c r="C14" s="9" t="n">
        <f aca="false">COUNTIF(Inventario!B2:B59,B14)</f>
        <v>5</v>
      </c>
      <c r="D14" s="9" t="n">
        <f aca="false">COUNTIFS(Inventario!B2:B59,B14,Inventario!D2:D59,"Instalada")</f>
        <v>0</v>
      </c>
      <c r="E14" s="9" t="n">
        <f aca="false">C14-D14</f>
        <v>5</v>
      </c>
      <c r="F14" s="10" t="n">
        <f aca="false">IF(C14=0,0,D14/C14)</f>
        <v>0</v>
      </c>
    </row>
    <row r="15" customFormat="false" ht="15" hidden="false" customHeight="false" outlineLevel="0" collapsed="false">
      <c r="B15" s="8" t="s">
        <v>14</v>
      </c>
      <c r="C15" s="9" t="n">
        <f aca="false">COUNTIF(Inventario!B2:B59,B15)</f>
        <v>5</v>
      </c>
      <c r="D15" s="9" t="n">
        <f aca="false">COUNTIFS(Inventario!B2:B59,B15,Inventario!D2:D59,"Instalada")</f>
        <v>1</v>
      </c>
      <c r="E15" s="9" t="n">
        <f aca="false">C15-D15</f>
        <v>4</v>
      </c>
      <c r="F15" s="10" t="n">
        <f aca="false">IF(C15=0,0,D15/C15)</f>
        <v>0.2</v>
      </c>
    </row>
    <row r="16" customFormat="false" ht="15" hidden="false" customHeight="false" outlineLevel="0" collapsed="false">
      <c r="B16" s="8" t="s">
        <v>15</v>
      </c>
      <c r="C16" s="9" t="n">
        <f aca="false">COUNTIF(Inventario!B2:B59,B16)</f>
        <v>5</v>
      </c>
      <c r="D16" s="9" t="n">
        <f aca="false">COUNTIFS(Inventario!B2:B59,B16,Inventario!D2:D59,"Instalada")</f>
        <v>1</v>
      </c>
      <c r="E16" s="9" t="n">
        <f aca="false">C16-D16</f>
        <v>4</v>
      </c>
      <c r="F16" s="10" t="n">
        <f aca="false">IF(C16=0,0,D16/C16)</f>
        <v>0.2</v>
      </c>
    </row>
    <row r="17" customFormat="false" ht="15" hidden="false" customHeight="false" outlineLevel="0" collapsed="false">
      <c r="B17" s="8" t="s">
        <v>16</v>
      </c>
      <c r="C17" s="9" t="n">
        <f aca="false">COUNTIF(Inventario!B2:B59,B17)</f>
        <v>3</v>
      </c>
      <c r="D17" s="9" t="n">
        <f aca="false">COUNTIFS(Inventario!B2:B59,B17,Inventario!D2:D59,"Instalada")</f>
        <v>2</v>
      </c>
      <c r="E17" s="9" t="n">
        <f aca="false">C17-D17</f>
        <v>1</v>
      </c>
      <c r="F17" s="10" t="n">
        <f aca="false">IF(C17=0,0,D17/C17)</f>
        <v>0.666666666666667</v>
      </c>
    </row>
    <row r="18" customFormat="false" ht="15" hidden="false" customHeight="false" outlineLevel="0" collapsed="false">
      <c r="B18" s="8" t="s">
        <v>17</v>
      </c>
      <c r="C18" s="9" t="n">
        <f aca="false">COUNTIF(Inventario!B2:B59,B18)</f>
        <v>2</v>
      </c>
      <c r="D18" s="9" t="n">
        <f aca="false">COUNTIFS(Inventario!B2:B59,B18,Inventario!D2:D59,"Instalada")</f>
        <v>2</v>
      </c>
      <c r="E18" s="9" t="n">
        <f aca="false">C18-D18</f>
        <v>0</v>
      </c>
      <c r="F18" s="10" t="n">
        <f aca="false">IF(C18=0,0,D18/C18)</f>
        <v>1</v>
      </c>
    </row>
    <row r="19" customFormat="false" ht="15" hidden="false" customHeight="false" outlineLevel="0" collapsed="false">
      <c r="B19" s="8" t="s">
        <v>18</v>
      </c>
      <c r="C19" s="9" t="n">
        <f aca="false">COUNTIF(Inventario!B2:B59,B19)</f>
        <v>2</v>
      </c>
      <c r="D19" s="9" t="n">
        <f aca="false">COUNTIFS(Inventario!B2:B59,B19,Inventario!D2:D59,"Instalada")</f>
        <v>2</v>
      </c>
      <c r="E19" s="9" t="n">
        <f aca="false">C19-D19</f>
        <v>0</v>
      </c>
      <c r="F19" s="10" t="n">
        <f aca="false">IF(C19=0,0,D19/C19)</f>
        <v>1</v>
      </c>
    </row>
    <row r="20" customFormat="false" ht="15" hidden="false" customHeight="false" outlineLevel="0" collapsed="false">
      <c r="B20" s="8" t="s">
        <v>19</v>
      </c>
      <c r="C20" s="9" t="n">
        <f aca="false">COUNTIF(Inventario!B2:B59,B20)</f>
        <v>10</v>
      </c>
      <c r="D20" s="9" t="n">
        <f aca="false">COUNTIFS(Inventario!B2:B59,B20,Inventario!D2:D59,"Instalada")</f>
        <v>10</v>
      </c>
      <c r="E20" s="9" t="n">
        <f aca="false">C20-D20</f>
        <v>0</v>
      </c>
      <c r="F20" s="10" t="n">
        <f aca="false">IF(C20=0,0,D20/C20)</f>
        <v>1</v>
      </c>
    </row>
    <row r="21" customFormat="false" ht="15" hidden="false" customHeight="false" outlineLevel="0" collapsed="false">
      <c r="B21" s="8" t="s">
        <v>20</v>
      </c>
      <c r="C21" s="9" t="n">
        <f aca="false">COUNTIF(Inventario!B2:B59,B21)</f>
        <v>7</v>
      </c>
      <c r="D21" s="9" t="n">
        <f aca="false">COUNTIFS(Inventario!B2:B59,B21,Inventario!D2:D59,"Instalada")</f>
        <v>7</v>
      </c>
      <c r="E21" s="9" t="n">
        <f aca="false">C21-D21</f>
        <v>0</v>
      </c>
      <c r="F21" s="10" t="n">
        <f aca="false">IF(C21=0,0,D21/C21)</f>
        <v>1</v>
      </c>
    </row>
    <row r="22" customFormat="false" ht="15" hidden="false" customHeight="false" outlineLevel="0" collapsed="false">
      <c r="B22" s="8" t="s">
        <v>21</v>
      </c>
      <c r="C22" s="9" t="n">
        <f aca="false">COUNTIF(Inventario!B2:B59,B22)</f>
        <v>2</v>
      </c>
      <c r="D22" s="9" t="n">
        <f aca="false">COUNTIFS(Inventario!B2:B59,B22,Inventario!D2:D59,"Instalada")</f>
        <v>2</v>
      </c>
      <c r="E22" s="9" t="n">
        <f aca="false">C22-D22</f>
        <v>0</v>
      </c>
      <c r="F22" s="10" t="n">
        <f aca="false">IF(C22=0,0,D22/C22)</f>
        <v>1</v>
      </c>
    </row>
    <row r="23" customFormat="false" ht="15" hidden="false" customHeight="false" outlineLevel="0" collapsed="false">
      <c r="B23" s="8" t="s">
        <v>22</v>
      </c>
      <c r="C23" s="9" t="n">
        <f aca="false">COUNTIF(Inventario!B2:B59,B23)</f>
        <v>4</v>
      </c>
      <c r="D23" s="9" t="n">
        <f aca="false">COUNTIFS(Inventario!B2:B59,B23,Inventario!D2:D59,"Instalada")</f>
        <v>2</v>
      </c>
      <c r="E23" s="9" t="n">
        <f aca="false">C23-D23</f>
        <v>2</v>
      </c>
      <c r="F23" s="10" t="n">
        <f aca="false">IF(C23=0,0,D23/C23)</f>
        <v>0.5</v>
      </c>
    </row>
  </sheetData>
  <mergeCells count="10">
    <mergeCell ref="B2:H2"/>
    <mergeCell ref="B3:H3"/>
    <mergeCell ref="B5:C5"/>
    <mergeCell ref="D5:E5"/>
    <mergeCell ref="F5:G5"/>
    <mergeCell ref="H5:I5"/>
    <mergeCell ref="B6:C6"/>
    <mergeCell ref="D6:E6"/>
    <mergeCell ref="F6:G6"/>
    <mergeCell ref="H6:I6"/>
  </mergeCells>
  <conditionalFormatting sqref="F11:F23">
    <cfRule type="expression" priority="2" aboveAverage="0" equalAverage="0" bottom="0" percent="0" rank="0" text="" dxfId="0">
      <formula>F11&lt;0.5</formula>
    </cfRule>
    <cfRule type="expression" priority="3" aboveAverage="0" equalAverage="0" bottom="0" percent="0" rank="0" text="" dxfId="1">
      <formula>F11&gt;=0.8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20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20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8"/>
  </cols>
  <sheetData>
    <row r="1" customFormat="false" ht="30" hidden="false" customHeight="true" outlineLevel="0" collapsed="false">
      <c r="A1" s="11" t="s">
        <v>23</v>
      </c>
      <c r="B1" s="11" t="s">
        <v>7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</row>
    <row r="2" customFormat="false" ht="15" hidden="false" customHeight="false" outlineLevel="0" collapsed="false">
      <c r="A2" s="12" t="n">
        <v>1</v>
      </c>
      <c r="B2" s="12" t="s">
        <v>10</v>
      </c>
      <c r="C2" s="12" t="s">
        <v>38</v>
      </c>
      <c r="D2" s="12" t="s">
        <v>39</v>
      </c>
      <c r="E2" s="12" t="s">
        <v>40</v>
      </c>
      <c r="F2" s="12" t="s">
        <v>41</v>
      </c>
      <c r="G2" s="12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45</v>
      </c>
      <c r="O2" s="12" t="s">
        <v>49</v>
      </c>
      <c r="P2" s="12" t="s">
        <v>50</v>
      </c>
    </row>
    <row r="3" customFormat="false" ht="15" hidden="false" customHeight="false" outlineLevel="0" collapsed="false">
      <c r="A3" s="12" t="n">
        <v>2</v>
      </c>
      <c r="B3" s="12" t="s">
        <v>10</v>
      </c>
      <c r="C3" s="12" t="s">
        <v>51</v>
      </c>
      <c r="D3" s="12" t="s">
        <v>39</v>
      </c>
      <c r="E3" s="12" t="s">
        <v>40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  <c r="M3" s="12" t="s">
        <v>48</v>
      </c>
      <c r="N3" s="12" t="s">
        <v>56</v>
      </c>
      <c r="O3" s="12" t="s">
        <v>59</v>
      </c>
      <c r="P3" s="12" t="s">
        <v>50</v>
      </c>
    </row>
    <row r="4" customFormat="false" ht="15" hidden="false" customHeight="false" outlineLevel="0" collapsed="false">
      <c r="A4" s="12" t="n">
        <v>3</v>
      </c>
      <c r="B4" s="12" t="s">
        <v>10</v>
      </c>
      <c r="C4" s="12" t="s">
        <v>60</v>
      </c>
      <c r="D4" s="12" t="s">
        <v>39</v>
      </c>
      <c r="E4" s="12" t="s">
        <v>40</v>
      </c>
      <c r="F4" s="12" t="s">
        <v>61</v>
      </c>
      <c r="G4" s="12" t="s">
        <v>62</v>
      </c>
      <c r="H4" s="12" t="s">
        <v>54</v>
      </c>
      <c r="I4" s="12" t="s">
        <v>63</v>
      </c>
      <c r="J4" s="12" t="s">
        <v>56</v>
      </c>
      <c r="K4" s="12" t="s">
        <v>57</v>
      </c>
      <c r="L4" s="12" t="s">
        <v>64</v>
      </c>
      <c r="M4" s="12" t="s">
        <v>48</v>
      </c>
      <c r="N4" s="12" t="s">
        <v>56</v>
      </c>
      <c r="O4" s="12" t="s">
        <v>65</v>
      </c>
      <c r="P4" s="12" t="s">
        <v>50</v>
      </c>
    </row>
    <row r="5" customFormat="false" ht="15" hidden="false" customHeight="false" outlineLevel="0" collapsed="false">
      <c r="A5" s="12" t="n">
        <v>4</v>
      </c>
      <c r="B5" s="12" t="s">
        <v>10</v>
      </c>
      <c r="C5" s="12" t="s">
        <v>66</v>
      </c>
      <c r="D5" s="12" t="s">
        <v>39</v>
      </c>
      <c r="E5" s="12" t="s">
        <v>40</v>
      </c>
      <c r="F5" s="12" t="s">
        <v>67</v>
      </c>
      <c r="G5" s="12" t="s">
        <v>68</v>
      </c>
      <c r="H5" s="12" t="s">
        <v>54</v>
      </c>
      <c r="I5" s="12" t="s">
        <v>69</v>
      </c>
      <c r="J5" s="12" t="s">
        <v>70</v>
      </c>
      <c r="K5" s="12" t="s">
        <v>71</v>
      </c>
      <c r="L5" s="12" t="s">
        <v>72</v>
      </c>
      <c r="M5" s="12" t="s">
        <v>73</v>
      </c>
      <c r="N5" s="12" t="s">
        <v>70</v>
      </c>
      <c r="O5" s="12" t="s">
        <v>74</v>
      </c>
      <c r="P5" s="12" t="s">
        <v>75</v>
      </c>
    </row>
    <row r="6" customFormat="false" ht="15" hidden="false" customHeight="false" outlineLevel="0" collapsed="false">
      <c r="A6" s="12" t="n">
        <v>5</v>
      </c>
      <c r="B6" s="12" t="s">
        <v>10</v>
      </c>
      <c r="C6" s="12" t="s">
        <v>76</v>
      </c>
      <c r="D6" s="12" t="s">
        <v>39</v>
      </c>
      <c r="E6" s="12" t="s">
        <v>40</v>
      </c>
      <c r="F6" s="12" t="s">
        <v>77</v>
      </c>
      <c r="G6" s="12" t="s">
        <v>78</v>
      </c>
      <c r="H6" s="12" t="s">
        <v>54</v>
      </c>
      <c r="I6" s="12" t="s">
        <v>79</v>
      </c>
      <c r="J6" s="12" t="s">
        <v>80</v>
      </c>
      <c r="K6" s="12" t="s">
        <v>71</v>
      </c>
      <c r="L6" s="12" t="s">
        <v>81</v>
      </c>
      <c r="M6" s="12" t="s">
        <v>73</v>
      </c>
      <c r="N6" s="12" t="s">
        <v>80</v>
      </c>
      <c r="O6" s="12" t="s">
        <v>82</v>
      </c>
      <c r="P6" s="12" t="s">
        <v>75</v>
      </c>
    </row>
    <row r="7" customFormat="false" ht="15" hidden="false" customHeight="false" outlineLevel="0" collapsed="false">
      <c r="A7" s="12" t="n">
        <v>6</v>
      </c>
      <c r="B7" s="12" t="s">
        <v>11</v>
      </c>
      <c r="C7" s="12" t="s">
        <v>83</v>
      </c>
      <c r="D7" s="12" t="s">
        <v>39</v>
      </c>
      <c r="E7" s="12" t="s">
        <v>84</v>
      </c>
      <c r="F7" s="12" t="s">
        <v>85</v>
      </c>
      <c r="G7" s="12" t="s">
        <v>86</v>
      </c>
      <c r="H7" s="12" t="s">
        <v>87</v>
      </c>
      <c r="I7" s="12" t="s">
        <v>88</v>
      </c>
      <c r="J7" s="12" t="s">
        <v>56</v>
      </c>
      <c r="K7" s="12" t="s">
        <v>57</v>
      </c>
      <c r="L7" s="12" t="s">
        <v>89</v>
      </c>
      <c r="M7" s="12" t="s">
        <v>48</v>
      </c>
      <c r="N7" s="12" t="s">
        <v>56</v>
      </c>
      <c r="O7" s="12" t="s">
        <v>90</v>
      </c>
      <c r="P7" s="12" t="s">
        <v>50</v>
      </c>
    </row>
    <row r="8" customFormat="false" ht="15" hidden="false" customHeight="false" outlineLevel="0" collapsed="false">
      <c r="A8" s="12" t="n">
        <v>7</v>
      </c>
      <c r="B8" s="12" t="s">
        <v>11</v>
      </c>
      <c r="C8" s="12" t="s">
        <v>91</v>
      </c>
      <c r="D8" s="12" t="s">
        <v>39</v>
      </c>
      <c r="E8" s="12" t="s">
        <v>92</v>
      </c>
      <c r="F8" s="12" t="s">
        <v>93</v>
      </c>
      <c r="G8" s="12" t="s">
        <v>94</v>
      </c>
      <c r="H8" s="12" t="s">
        <v>95</v>
      </c>
      <c r="I8" s="12" t="s">
        <v>96</v>
      </c>
      <c r="J8" s="12" t="s">
        <v>97</v>
      </c>
      <c r="K8" s="12" t="s">
        <v>97</v>
      </c>
      <c r="L8" s="12" t="s">
        <v>98</v>
      </c>
      <c r="M8" s="12" t="s">
        <v>48</v>
      </c>
      <c r="N8" s="12" t="s">
        <v>97</v>
      </c>
      <c r="O8" s="12" t="s">
        <v>99</v>
      </c>
      <c r="P8" s="12" t="s">
        <v>50</v>
      </c>
    </row>
    <row r="9" customFormat="false" ht="15" hidden="false" customHeight="false" outlineLevel="0" collapsed="false">
      <c r="A9" s="12" t="n">
        <v>8</v>
      </c>
      <c r="B9" s="12" t="s">
        <v>11</v>
      </c>
      <c r="C9" s="12" t="s">
        <v>100</v>
      </c>
      <c r="D9" s="12" t="s">
        <v>39</v>
      </c>
      <c r="E9" s="12" t="s">
        <v>92</v>
      </c>
      <c r="F9" s="12" t="s">
        <v>101</v>
      </c>
      <c r="G9" s="12" t="s">
        <v>102</v>
      </c>
      <c r="H9" s="12" t="s">
        <v>95</v>
      </c>
      <c r="I9" s="12" t="s">
        <v>103</v>
      </c>
      <c r="J9" s="12" t="s">
        <v>104</v>
      </c>
      <c r="K9" s="12" t="s">
        <v>105</v>
      </c>
      <c r="L9" s="12" t="s">
        <v>106</v>
      </c>
      <c r="M9" s="12" t="s">
        <v>48</v>
      </c>
      <c r="N9" s="12" t="s">
        <v>104</v>
      </c>
      <c r="O9" s="12" t="s">
        <v>107</v>
      </c>
      <c r="P9" s="12" t="s">
        <v>50</v>
      </c>
    </row>
    <row r="10" customFormat="false" ht="15" hidden="false" customHeight="false" outlineLevel="0" collapsed="false">
      <c r="A10" s="12" t="n">
        <v>9</v>
      </c>
      <c r="B10" s="12" t="s">
        <v>11</v>
      </c>
      <c r="C10" s="12" t="s">
        <v>108</v>
      </c>
      <c r="D10" s="12" t="s">
        <v>39</v>
      </c>
      <c r="E10" s="12" t="s">
        <v>84</v>
      </c>
      <c r="F10" s="12" t="s">
        <v>109</v>
      </c>
      <c r="G10" s="12" t="s">
        <v>110</v>
      </c>
      <c r="H10" s="12" t="s">
        <v>87</v>
      </c>
      <c r="I10" s="12" t="s">
        <v>111</v>
      </c>
      <c r="J10" s="12" t="s">
        <v>80</v>
      </c>
      <c r="K10" s="12" t="s">
        <v>71</v>
      </c>
      <c r="L10" s="12" t="s">
        <v>112</v>
      </c>
      <c r="M10" s="12" t="s">
        <v>73</v>
      </c>
      <c r="N10" s="12" t="s">
        <v>80</v>
      </c>
      <c r="O10" s="12" t="s">
        <v>113</v>
      </c>
      <c r="P10" s="12" t="s">
        <v>75</v>
      </c>
    </row>
    <row r="11" customFormat="false" ht="15" hidden="false" customHeight="false" outlineLevel="0" collapsed="false">
      <c r="A11" s="12" t="n">
        <v>10</v>
      </c>
      <c r="B11" s="12" t="s">
        <v>11</v>
      </c>
      <c r="C11" s="12" t="s">
        <v>114</v>
      </c>
      <c r="D11" s="12" t="s">
        <v>39</v>
      </c>
      <c r="E11" s="12" t="s">
        <v>84</v>
      </c>
      <c r="F11" s="12" t="s">
        <v>115</v>
      </c>
      <c r="G11" s="12" t="s">
        <v>116</v>
      </c>
      <c r="H11" s="12" t="s">
        <v>87</v>
      </c>
      <c r="I11" s="12" t="s">
        <v>117</v>
      </c>
      <c r="J11" s="12" t="s">
        <v>56</v>
      </c>
      <c r="K11" s="12" t="s">
        <v>57</v>
      </c>
      <c r="L11" s="12" t="s">
        <v>118</v>
      </c>
      <c r="M11" s="12" t="s">
        <v>48</v>
      </c>
      <c r="N11" s="12" t="s">
        <v>56</v>
      </c>
      <c r="O11" s="12" t="s">
        <v>119</v>
      </c>
      <c r="P11" s="12" t="s">
        <v>50</v>
      </c>
    </row>
    <row r="12" customFormat="false" ht="15" hidden="false" customHeight="false" outlineLevel="0" collapsed="false">
      <c r="A12" s="12" t="n">
        <v>11</v>
      </c>
      <c r="B12" s="12" t="s">
        <v>12</v>
      </c>
      <c r="C12" s="12" t="s">
        <v>120</v>
      </c>
      <c r="D12" s="12" t="s">
        <v>39</v>
      </c>
      <c r="E12" s="12" t="s">
        <v>92</v>
      </c>
      <c r="F12" s="12" t="s">
        <v>121</v>
      </c>
      <c r="G12" s="12" t="s">
        <v>122</v>
      </c>
      <c r="H12" s="12" t="s">
        <v>95</v>
      </c>
      <c r="I12" s="12" t="s">
        <v>123</v>
      </c>
      <c r="J12" s="12" t="s">
        <v>104</v>
      </c>
      <c r="K12" s="12" t="s">
        <v>105</v>
      </c>
      <c r="L12" s="12" t="s">
        <v>124</v>
      </c>
      <c r="M12" s="12" t="s">
        <v>48</v>
      </c>
      <c r="N12" s="12" t="s">
        <v>104</v>
      </c>
      <c r="O12" s="12" t="s">
        <v>125</v>
      </c>
      <c r="P12" s="12" t="s">
        <v>50</v>
      </c>
    </row>
    <row r="13" customFormat="false" ht="15" hidden="false" customHeight="false" outlineLevel="0" collapsed="false">
      <c r="A13" s="12" t="n">
        <v>12</v>
      </c>
      <c r="B13" s="12" t="s">
        <v>12</v>
      </c>
      <c r="C13" s="12" t="s">
        <v>126</v>
      </c>
      <c r="D13" s="12" t="s">
        <v>39</v>
      </c>
      <c r="E13" s="12" t="s">
        <v>84</v>
      </c>
      <c r="F13" s="12" t="s">
        <v>127</v>
      </c>
      <c r="G13" s="12" t="s">
        <v>128</v>
      </c>
      <c r="H13" s="12" t="s">
        <v>87</v>
      </c>
      <c r="I13" s="12" t="s">
        <v>129</v>
      </c>
      <c r="J13" s="12" t="s">
        <v>130</v>
      </c>
      <c r="K13" s="12" t="s">
        <v>71</v>
      </c>
      <c r="L13" s="12" t="s">
        <v>131</v>
      </c>
      <c r="M13" s="12" t="s">
        <v>73</v>
      </c>
      <c r="N13" s="12" t="s">
        <v>130</v>
      </c>
      <c r="O13" s="12" t="s">
        <v>132</v>
      </c>
      <c r="P13" s="12" t="s">
        <v>75</v>
      </c>
    </row>
    <row r="14" customFormat="false" ht="15" hidden="false" customHeight="false" outlineLevel="0" collapsed="false">
      <c r="A14" s="12" t="n">
        <v>13</v>
      </c>
      <c r="B14" s="12" t="s">
        <v>12</v>
      </c>
      <c r="C14" s="12" t="s">
        <v>133</v>
      </c>
      <c r="D14" s="12" t="s">
        <v>39</v>
      </c>
      <c r="E14" s="12" t="s">
        <v>92</v>
      </c>
      <c r="F14" s="12" t="s">
        <v>134</v>
      </c>
      <c r="G14" s="12" t="s">
        <v>135</v>
      </c>
      <c r="H14" s="12" t="s">
        <v>95</v>
      </c>
      <c r="I14" s="12" t="s">
        <v>136</v>
      </c>
      <c r="J14" s="12" t="s">
        <v>104</v>
      </c>
      <c r="K14" s="12" t="s">
        <v>105</v>
      </c>
      <c r="L14" s="12" t="s">
        <v>137</v>
      </c>
      <c r="M14" s="12" t="s">
        <v>48</v>
      </c>
      <c r="N14" s="12" t="s">
        <v>104</v>
      </c>
      <c r="O14" s="12" t="s">
        <v>138</v>
      </c>
      <c r="P14" s="12" t="s">
        <v>50</v>
      </c>
    </row>
    <row r="15" customFormat="false" ht="15" hidden="false" customHeight="false" outlineLevel="0" collapsed="false">
      <c r="A15" s="12" t="n">
        <v>14</v>
      </c>
      <c r="B15" s="12" t="s">
        <v>13</v>
      </c>
      <c r="C15" s="12" t="s">
        <v>139</v>
      </c>
      <c r="D15" s="12" t="s">
        <v>140</v>
      </c>
      <c r="E15" s="12" t="s">
        <v>92</v>
      </c>
      <c r="F15" s="12"/>
      <c r="G15" s="12"/>
      <c r="H15" s="12" t="s">
        <v>95</v>
      </c>
      <c r="I15" s="12" t="s">
        <v>141</v>
      </c>
      <c r="J15" s="12" t="s">
        <v>142</v>
      </c>
      <c r="K15" s="12"/>
      <c r="L15" s="12"/>
      <c r="M15" s="12"/>
      <c r="N15" s="12" t="s">
        <v>142</v>
      </c>
      <c r="O15" s="12"/>
      <c r="P15" s="12" t="s">
        <v>143</v>
      </c>
    </row>
    <row r="16" customFormat="false" ht="15" hidden="false" customHeight="false" outlineLevel="0" collapsed="false">
      <c r="A16" s="12" t="n">
        <v>15</v>
      </c>
      <c r="B16" s="12" t="s">
        <v>13</v>
      </c>
      <c r="C16" s="12" t="s">
        <v>144</v>
      </c>
      <c r="D16" s="12" t="s">
        <v>140</v>
      </c>
      <c r="E16" s="12" t="s">
        <v>92</v>
      </c>
      <c r="F16" s="12"/>
      <c r="G16" s="12"/>
      <c r="H16" s="12" t="s">
        <v>95</v>
      </c>
      <c r="I16" s="12" t="s">
        <v>145</v>
      </c>
      <c r="J16" s="12" t="s">
        <v>142</v>
      </c>
      <c r="K16" s="12"/>
      <c r="L16" s="12"/>
      <c r="M16" s="12"/>
      <c r="N16" s="12" t="s">
        <v>142</v>
      </c>
      <c r="O16" s="12"/>
      <c r="P16" s="12" t="s">
        <v>143</v>
      </c>
    </row>
    <row r="17" customFormat="false" ht="15" hidden="false" customHeight="false" outlineLevel="0" collapsed="false">
      <c r="A17" s="12" t="n">
        <v>16</v>
      </c>
      <c r="B17" s="12" t="s">
        <v>13</v>
      </c>
      <c r="C17" s="12" t="s">
        <v>146</v>
      </c>
      <c r="D17" s="12" t="s">
        <v>140</v>
      </c>
      <c r="E17" s="12" t="s">
        <v>92</v>
      </c>
      <c r="F17" s="12"/>
      <c r="G17" s="12"/>
      <c r="H17" s="12" t="s">
        <v>95</v>
      </c>
      <c r="I17" s="12" t="s">
        <v>147</v>
      </c>
      <c r="J17" s="12" t="s">
        <v>142</v>
      </c>
      <c r="K17" s="12"/>
      <c r="L17" s="12"/>
      <c r="M17" s="12"/>
      <c r="N17" s="12" t="s">
        <v>142</v>
      </c>
      <c r="O17" s="12"/>
      <c r="P17" s="12" t="s">
        <v>143</v>
      </c>
    </row>
    <row r="18" customFormat="false" ht="15" hidden="false" customHeight="false" outlineLevel="0" collapsed="false">
      <c r="A18" s="12" t="n">
        <v>17</v>
      </c>
      <c r="B18" s="12" t="s">
        <v>13</v>
      </c>
      <c r="C18" s="12" t="s">
        <v>148</v>
      </c>
      <c r="D18" s="12" t="s">
        <v>140</v>
      </c>
      <c r="E18" s="12" t="s">
        <v>92</v>
      </c>
      <c r="F18" s="12"/>
      <c r="G18" s="12"/>
      <c r="H18" s="12" t="s">
        <v>95</v>
      </c>
      <c r="I18" s="12" t="s">
        <v>149</v>
      </c>
      <c r="J18" s="12" t="s">
        <v>142</v>
      </c>
      <c r="K18" s="12"/>
      <c r="L18" s="12"/>
      <c r="M18" s="12"/>
      <c r="N18" s="12" t="s">
        <v>142</v>
      </c>
      <c r="O18" s="12"/>
      <c r="P18" s="12" t="s">
        <v>143</v>
      </c>
    </row>
    <row r="19" customFormat="false" ht="15" hidden="false" customHeight="false" outlineLevel="0" collapsed="false">
      <c r="A19" s="12" t="n">
        <v>18</v>
      </c>
      <c r="B19" s="12" t="s">
        <v>13</v>
      </c>
      <c r="C19" s="12" t="s">
        <v>150</v>
      </c>
      <c r="D19" s="12" t="s">
        <v>140</v>
      </c>
      <c r="E19" s="12" t="s">
        <v>92</v>
      </c>
      <c r="F19" s="12"/>
      <c r="G19" s="12"/>
      <c r="H19" s="12" t="s">
        <v>95</v>
      </c>
      <c r="I19" s="12" t="s">
        <v>151</v>
      </c>
      <c r="J19" s="12" t="s">
        <v>142</v>
      </c>
      <c r="K19" s="12"/>
      <c r="L19" s="12"/>
      <c r="M19" s="12"/>
      <c r="N19" s="12" t="s">
        <v>142</v>
      </c>
      <c r="O19" s="12"/>
      <c r="P19" s="12" t="s">
        <v>143</v>
      </c>
    </row>
    <row r="20" customFormat="false" ht="15" hidden="false" customHeight="false" outlineLevel="0" collapsed="false">
      <c r="A20" s="12" t="n">
        <v>19</v>
      </c>
      <c r="B20" s="12" t="s">
        <v>14</v>
      </c>
      <c r="C20" s="12" t="s">
        <v>152</v>
      </c>
      <c r="D20" s="12" t="s">
        <v>140</v>
      </c>
      <c r="E20" s="12" t="s">
        <v>92</v>
      </c>
      <c r="F20" s="12"/>
      <c r="G20" s="12"/>
      <c r="H20" s="12" t="s">
        <v>95</v>
      </c>
      <c r="I20" s="12" t="s">
        <v>153</v>
      </c>
      <c r="J20" s="12" t="s">
        <v>142</v>
      </c>
      <c r="K20" s="12"/>
      <c r="L20" s="12"/>
      <c r="M20" s="12"/>
      <c r="N20" s="12" t="s">
        <v>142</v>
      </c>
      <c r="O20" s="12"/>
      <c r="P20" s="12" t="s">
        <v>143</v>
      </c>
    </row>
    <row r="21" customFormat="false" ht="15" hidden="false" customHeight="false" outlineLevel="0" collapsed="false">
      <c r="A21" s="12" t="n">
        <v>20</v>
      </c>
      <c r="B21" s="12" t="s">
        <v>14</v>
      </c>
      <c r="C21" s="12" t="s">
        <v>154</v>
      </c>
      <c r="D21" s="12" t="s">
        <v>140</v>
      </c>
      <c r="E21" s="12" t="s">
        <v>92</v>
      </c>
      <c r="F21" s="12"/>
      <c r="G21" s="12"/>
      <c r="H21" s="12" t="s">
        <v>95</v>
      </c>
      <c r="I21" s="12" t="s">
        <v>155</v>
      </c>
      <c r="J21" s="12" t="s">
        <v>142</v>
      </c>
      <c r="K21" s="12"/>
      <c r="L21" s="12"/>
      <c r="M21" s="12"/>
      <c r="N21" s="12" t="s">
        <v>142</v>
      </c>
      <c r="O21" s="12"/>
      <c r="P21" s="12" t="s">
        <v>143</v>
      </c>
    </row>
    <row r="22" customFormat="false" ht="15" hidden="false" customHeight="false" outlineLevel="0" collapsed="false">
      <c r="A22" s="12" t="n">
        <v>21</v>
      </c>
      <c r="B22" s="12" t="s">
        <v>14</v>
      </c>
      <c r="C22" s="12" t="s">
        <v>156</v>
      </c>
      <c r="D22" s="12" t="s">
        <v>140</v>
      </c>
      <c r="E22" s="12" t="s">
        <v>92</v>
      </c>
      <c r="F22" s="12"/>
      <c r="G22" s="12"/>
      <c r="H22" s="12" t="s">
        <v>95</v>
      </c>
      <c r="I22" s="12" t="s">
        <v>157</v>
      </c>
      <c r="J22" s="12" t="s">
        <v>142</v>
      </c>
      <c r="K22" s="12"/>
      <c r="L22" s="12"/>
      <c r="M22" s="12"/>
      <c r="N22" s="12" t="s">
        <v>142</v>
      </c>
      <c r="O22" s="12"/>
      <c r="P22" s="12" t="s">
        <v>143</v>
      </c>
    </row>
    <row r="23" customFormat="false" ht="15" hidden="false" customHeight="false" outlineLevel="0" collapsed="false">
      <c r="A23" s="12" t="n">
        <v>22</v>
      </c>
      <c r="B23" s="12" t="s">
        <v>14</v>
      </c>
      <c r="C23" s="12" t="s">
        <v>158</v>
      </c>
      <c r="D23" s="12" t="s">
        <v>39</v>
      </c>
      <c r="E23" s="12" t="s">
        <v>92</v>
      </c>
      <c r="F23" s="12" t="s">
        <v>159</v>
      </c>
      <c r="G23" s="12" t="s">
        <v>160</v>
      </c>
      <c r="H23" s="12" t="s">
        <v>95</v>
      </c>
      <c r="I23" s="12" t="s">
        <v>161</v>
      </c>
      <c r="J23" s="12" t="s">
        <v>104</v>
      </c>
      <c r="K23" s="12" t="s">
        <v>105</v>
      </c>
      <c r="L23" s="12" t="s">
        <v>162</v>
      </c>
      <c r="M23" s="12" t="s">
        <v>48</v>
      </c>
      <c r="N23" s="12" t="s">
        <v>104</v>
      </c>
      <c r="O23" s="12" t="s">
        <v>163</v>
      </c>
      <c r="P23" s="12" t="s">
        <v>50</v>
      </c>
    </row>
    <row r="24" customFormat="false" ht="15" hidden="false" customHeight="false" outlineLevel="0" collapsed="false">
      <c r="A24" s="12" t="n">
        <v>23</v>
      </c>
      <c r="B24" s="12" t="s">
        <v>14</v>
      </c>
      <c r="C24" s="12" t="s">
        <v>164</v>
      </c>
      <c r="D24" s="12" t="s">
        <v>140</v>
      </c>
      <c r="E24" s="12" t="s">
        <v>92</v>
      </c>
      <c r="F24" s="12"/>
      <c r="G24" s="12"/>
      <c r="H24" s="12" t="s">
        <v>95</v>
      </c>
      <c r="I24" s="12" t="s">
        <v>165</v>
      </c>
      <c r="J24" s="12" t="s">
        <v>142</v>
      </c>
      <c r="K24" s="12"/>
      <c r="L24" s="12"/>
      <c r="M24" s="12"/>
      <c r="N24" s="12" t="s">
        <v>142</v>
      </c>
      <c r="O24" s="12"/>
      <c r="P24" s="12" t="s">
        <v>143</v>
      </c>
    </row>
    <row r="25" customFormat="false" ht="15" hidden="false" customHeight="false" outlineLevel="0" collapsed="false">
      <c r="A25" s="12" t="n">
        <v>24</v>
      </c>
      <c r="B25" s="12" t="s">
        <v>15</v>
      </c>
      <c r="C25" s="12" t="s">
        <v>166</v>
      </c>
      <c r="D25" s="12" t="s">
        <v>39</v>
      </c>
      <c r="E25" s="12" t="s">
        <v>40</v>
      </c>
      <c r="F25" s="12" t="s">
        <v>167</v>
      </c>
      <c r="G25" s="12" t="s">
        <v>168</v>
      </c>
      <c r="H25" s="12" t="s">
        <v>169</v>
      </c>
      <c r="I25" s="12" t="s">
        <v>170</v>
      </c>
      <c r="J25" s="12" t="s">
        <v>171</v>
      </c>
      <c r="K25" s="12" t="s">
        <v>172</v>
      </c>
      <c r="L25" s="12" t="s">
        <v>173</v>
      </c>
      <c r="M25" s="12" t="s">
        <v>174</v>
      </c>
      <c r="N25" s="12" t="s">
        <v>175</v>
      </c>
      <c r="O25" s="12" t="s">
        <v>176</v>
      </c>
      <c r="P25" s="12" t="s">
        <v>177</v>
      </c>
    </row>
    <row r="26" customFormat="false" ht="15" hidden="false" customHeight="false" outlineLevel="0" collapsed="false">
      <c r="A26" s="12" t="n">
        <v>25</v>
      </c>
      <c r="B26" s="12" t="s">
        <v>15</v>
      </c>
      <c r="C26" s="12" t="s">
        <v>178</v>
      </c>
      <c r="D26" s="12" t="s">
        <v>140</v>
      </c>
      <c r="E26" s="12" t="s">
        <v>92</v>
      </c>
      <c r="F26" s="12"/>
      <c r="G26" s="12"/>
      <c r="H26" s="12" t="s">
        <v>95</v>
      </c>
      <c r="I26" s="12" t="s">
        <v>179</v>
      </c>
      <c r="J26" s="12" t="s">
        <v>142</v>
      </c>
      <c r="K26" s="12"/>
      <c r="L26" s="12"/>
      <c r="M26" s="12"/>
      <c r="N26" s="12" t="s">
        <v>142</v>
      </c>
      <c r="O26" s="12"/>
      <c r="P26" s="12" t="s">
        <v>143</v>
      </c>
    </row>
    <row r="27" customFormat="false" ht="15" hidden="false" customHeight="false" outlineLevel="0" collapsed="false">
      <c r="A27" s="12" t="n">
        <v>26</v>
      </c>
      <c r="B27" s="12" t="s">
        <v>15</v>
      </c>
      <c r="C27" s="12" t="s">
        <v>180</v>
      </c>
      <c r="D27" s="12" t="s">
        <v>140</v>
      </c>
      <c r="E27" s="12" t="s">
        <v>92</v>
      </c>
      <c r="F27" s="12"/>
      <c r="G27" s="12"/>
      <c r="H27" s="12" t="s">
        <v>95</v>
      </c>
      <c r="I27" s="12" t="s">
        <v>181</v>
      </c>
      <c r="J27" s="12" t="s">
        <v>142</v>
      </c>
      <c r="K27" s="12"/>
      <c r="L27" s="12"/>
      <c r="M27" s="12"/>
      <c r="N27" s="12" t="s">
        <v>142</v>
      </c>
      <c r="O27" s="12"/>
      <c r="P27" s="12" t="s">
        <v>143</v>
      </c>
    </row>
    <row r="28" customFormat="false" ht="15" hidden="false" customHeight="false" outlineLevel="0" collapsed="false">
      <c r="A28" s="12" t="n">
        <v>27</v>
      </c>
      <c r="B28" s="12" t="s">
        <v>15</v>
      </c>
      <c r="C28" s="12" t="s">
        <v>182</v>
      </c>
      <c r="D28" s="12" t="s">
        <v>140</v>
      </c>
      <c r="E28" s="12" t="s">
        <v>92</v>
      </c>
      <c r="F28" s="12"/>
      <c r="G28" s="12"/>
      <c r="H28" s="12" t="s">
        <v>95</v>
      </c>
      <c r="I28" s="12" t="s">
        <v>183</v>
      </c>
      <c r="J28" s="12" t="s">
        <v>142</v>
      </c>
      <c r="K28" s="12"/>
      <c r="L28" s="12"/>
      <c r="M28" s="12"/>
      <c r="N28" s="12" t="s">
        <v>142</v>
      </c>
      <c r="O28" s="12"/>
      <c r="P28" s="12" t="s">
        <v>143</v>
      </c>
    </row>
    <row r="29" customFormat="false" ht="15" hidden="false" customHeight="false" outlineLevel="0" collapsed="false">
      <c r="A29" s="12" t="n">
        <v>28</v>
      </c>
      <c r="B29" s="12" t="s">
        <v>15</v>
      </c>
      <c r="C29" s="12" t="s">
        <v>184</v>
      </c>
      <c r="D29" s="12" t="s">
        <v>140</v>
      </c>
      <c r="E29" s="12" t="s">
        <v>92</v>
      </c>
      <c r="F29" s="12"/>
      <c r="G29" s="12"/>
      <c r="H29" s="12" t="s">
        <v>95</v>
      </c>
      <c r="I29" s="12" t="s">
        <v>185</v>
      </c>
      <c r="J29" s="12" t="s">
        <v>142</v>
      </c>
      <c r="K29" s="12"/>
      <c r="L29" s="12"/>
      <c r="M29" s="12"/>
      <c r="N29" s="12" t="s">
        <v>142</v>
      </c>
      <c r="O29" s="12"/>
      <c r="P29" s="12" t="s">
        <v>143</v>
      </c>
    </row>
    <row r="30" customFormat="false" ht="15" hidden="false" customHeight="false" outlineLevel="0" collapsed="false">
      <c r="A30" s="12" t="n">
        <v>29</v>
      </c>
      <c r="B30" s="12" t="s">
        <v>16</v>
      </c>
      <c r="C30" s="12" t="s">
        <v>186</v>
      </c>
      <c r="D30" s="12" t="s">
        <v>39</v>
      </c>
      <c r="E30" s="12" t="s">
        <v>92</v>
      </c>
      <c r="F30" s="12" t="s">
        <v>187</v>
      </c>
      <c r="G30" s="12" t="s">
        <v>188</v>
      </c>
      <c r="H30" s="12" t="s">
        <v>95</v>
      </c>
      <c r="I30" s="12" t="s">
        <v>189</v>
      </c>
      <c r="J30" s="12" t="s">
        <v>190</v>
      </c>
      <c r="K30" s="12" t="s">
        <v>191</v>
      </c>
      <c r="L30" s="12" t="s">
        <v>192</v>
      </c>
      <c r="M30" s="12" t="s">
        <v>48</v>
      </c>
      <c r="N30" s="12" t="s">
        <v>190</v>
      </c>
      <c r="O30" s="12"/>
      <c r="P30" s="12" t="s">
        <v>50</v>
      </c>
    </row>
    <row r="31" customFormat="false" ht="15" hidden="false" customHeight="false" outlineLevel="0" collapsed="false">
      <c r="A31" s="12" t="n">
        <v>30</v>
      </c>
      <c r="B31" s="12" t="s">
        <v>16</v>
      </c>
      <c r="C31" s="12" t="s">
        <v>193</v>
      </c>
      <c r="D31" s="12" t="s">
        <v>39</v>
      </c>
      <c r="E31" s="12" t="s">
        <v>84</v>
      </c>
      <c r="F31" s="12" t="s">
        <v>194</v>
      </c>
      <c r="G31" s="12" t="s">
        <v>195</v>
      </c>
      <c r="H31" s="12" t="s">
        <v>87</v>
      </c>
      <c r="I31" s="12" t="s">
        <v>196</v>
      </c>
      <c r="J31" s="12" t="s">
        <v>56</v>
      </c>
      <c r="K31" s="12" t="s">
        <v>57</v>
      </c>
      <c r="L31" s="12" t="s">
        <v>197</v>
      </c>
      <c r="M31" s="12" t="s">
        <v>48</v>
      </c>
      <c r="N31" s="12" t="s">
        <v>56</v>
      </c>
      <c r="O31" s="12" t="s">
        <v>198</v>
      </c>
      <c r="P31" s="12" t="s">
        <v>50</v>
      </c>
    </row>
    <row r="32" customFormat="false" ht="15" hidden="false" customHeight="false" outlineLevel="0" collapsed="false">
      <c r="A32" s="12" t="n">
        <v>31</v>
      </c>
      <c r="B32" s="12" t="s">
        <v>16</v>
      </c>
      <c r="C32" s="12" t="s">
        <v>199</v>
      </c>
      <c r="D32" s="12" t="s">
        <v>140</v>
      </c>
      <c r="E32" s="12" t="s">
        <v>92</v>
      </c>
      <c r="F32" s="12"/>
      <c r="G32" s="12" t="s">
        <v>200</v>
      </c>
      <c r="H32" s="12" t="s">
        <v>95</v>
      </c>
      <c r="I32" s="12" t="s">
        <v>201</v>
      </c>
      <c r="J32" s="12" t="s">
        <v>202</v>
      </c>
      <c r="K32" s="12"/>
      <c r="L32" s="12" t="s">
        <v>203</v>
      </c>
      <c r="M32" s="12" t="s">
        <v>48</v>
      </c>
      <c r="N32" s="12" t="s">
        <v>202</v>
      </c>
      <c r="O32" s="12"/>
      <c r="P32" s="12" t="s">
        <v>50</v>
      </c>
    </row>
    <row r="33" customFormat="false" ht="15" hidden="false" customHeight="false" outlineLevel="0" collapsed="false">
      <c r="A33" s="12" t="n">
        <v>32</v>
      </c>
      <c r="B33" s="12" t="s">
        <v>17</v>
      </c>
      <c r="C33" s="12" t="s">
        <v>204</v>
      </c>
      <c r="D33" s="12" t="s">
        <v>39</v>
      </c>
      <c r="E33" s="12" t="s">
        <v>84</v>
      </c>
      <c r="F33" s="12" t="s">
        <v>205</v>
      </c>
      <c r="G33" s="12" t="s">
        <v>206</v>
      </c>
      <c r="H33" s="12" t="s">
        <v>87</v>
      </c>
      <c r="I33" s="12" t="s">
        <v>207</v>
      </c>
      <c r="J33" s="12" t="s">
        <v>56</v>
      </c>
      <c r="K33" s="12" t="s">
        <v>57</v>
      </c>
      <c r="L33" s="12" t="s">
        <v>208</v>
      </c>
      <c r="M33" s="12" t="s">
        <v>48</v>
      </c>
      <c r="N33" s="12" t="s">
        <v>56</v>
      </c>
      <c r="O33" s="12" t="s">
        <v>209</v>
      </c>
      <c r="P33" s="12" t="s">
        <v>50</v>
      </c>
    </row>
    <row r="34" customFormat="false" ht="15" hidden="false" customHeight="false" outlineLevel="0" collapsed="false">
      <c r="A34" s="12" t="n">
        <v>33</v>
      </c>
      <c r="B34" s="12" t="s">
        <v>17</v>
      </c>
      <c r="C34" s="12" t="s">
        <v>210</v>
      </c>
      <c r="D34" s="12" t="s">
        <v>39</v>
      </c>
      <c r="E34" s="12" t="s">
        <v>92</v>
      </c>
      <c r="F34" s="12" t="s">
        <v>211</v>
      </c>
      <c r="G34" s="12" t="s">
        <v>212</v>
      </c>
      <c r="H34" s="12" t="s">
        <v>95</v>
      </c>
      <c r="I34" s="12" t="s">
        <v>213</v>
      </c>
      <c r="J34" s="12" t="s">
        <v>97</v>
      </c>
      <c r="K34" s="12" t="s">
        <v>191</v>
      </c>
      <c r="L34" s="12" t="s">
        <v>214</v>
      </c>
      <c r="M34" s="12" t="s">
        <v>48</v>
      </c>
      <c r="N34" s="12" t="s">
        <v>97</v>
      </c>
      <c r="O34" s="12"/>
      <c r="P34" s="12" t="s">
        <v>50</v>
      </c>
    </row>
    <row r="35" customFormat="false" ht="15" hidden="false" customHeight="false" outlineLevel="0" collapsed="false">
      <c r="A35" s="12" t="n">
        <v>34</v>
      </c>
      <c r="B35" s="12" t="s">
        <v>18</v>
      </c>
      <c r="C35" s="12" t="s">
        <v>215</v>
      </c>
      <c r="D35" s="12" t="s">
        <v>39</v>
      </c>
      <c r="E35" s="12" t="s">
        <v>40</v>
      </c>
      <c r="F35" s="12" t="s">
        <v>216</v>
      </c>
      <c r="G35" s="12" t="s">
        <v>217</v>
      </c>
      <c r="H35" s="12" t="s">
        <v>54</v>
      </c>
      <c r="I35" s="12" t="s">
        <v>218</v>
      </c>
      <c r="J35" s="12" t="s">
        <v>56</v>
      </c>
      <c r="K35" s="12" t="s">
        <v>57</v>
      </c>
      <c r="L35" s="12" t="s">
        <v>219</v>
      </c>
      <c r="M35" s="12" t="s">
        <v>48</v>
      </c>
      <c r="N35" s="12" t="s">
        <v>56</v>
      </c>
      <c r="O35" s="12" t="s">
        <v>220</v>
      </c>
      <c r="P35" s="12" t="s">
        <v>50</v>
      </c>
    </row>
    <row r="36" customFormat="false" ht="15" hidden="false" customHeight="false" outlineLevel="0" collapsed="false">
      <c r="A36" s="12" t="n">
        <v>35</v>
      </c>
      <c r="B36" s="12" t="s">
        <v>18</v>
      </c>
      <c r="C36" s="12" t="s">
        <v>221</v>
      </c>
      <c r="D36" s="12" t="s">
        <v>39</v>
      </c>
      <c r="E36" s="12" t="s">
        <v>92</v>
      </c>
      <c r="F36" s="12" t="s">
        <v>222</v>
      </c>
      <c r="G36" s="12" t="s">
        <v>223</v>
      </c>
      <c r="H36" s="12" t="s">
        <v>95</v>
      </c>
      <c r="I36" s="12" t="s">
        <v>224</v>
      </c>
      <c r="J36" s="12" t="s">
        <v>104</v>
      </c>
      <c r="K36" s="12" t="s">
        <v>105</v>
      </c>
      <c r="L36" s="12" t="s">
        <v>225</v>
      </c>
      <c r="M36" s="12" t="s">
        <v>48</v>
      </c>
      <c r="N36" s="12" t="s">
        <v>104</v>
      </c>
      <c r="O36" s="12" t="s">
        <v>226</v>
      </c>
      <c r="P36" s="12" t="s">
        <v>50</v>
      </c>
    </row>
    <row r="37" customFormat="false" ht="15" hidden="false" customHeight="false" outlineLevel="0" collapsed="false">
      <c r="A37" s="12" t="n">
        <v>36</v>
      </c>
      <c r="B37" s="12" t="s">
        <v>19</v>
      </c>
      <c r="C37" s="12" t="s">
        <v>227</v>
      </c>
      <c r="D37" s="12" t="s">
        <v>39</v>
      </c>
      <c r="E37" s="12" t="s">
        <v>40</v>
      </c>
      <c r="F37" s="12" t="s">
        <v>228</v>
      </c>
      <c r="G37" s="12" t="s">
        <v>229</v>
      </c>
      <c r="H37" s="12" t="s">
        <v>54</v>
      </c>
      <c r="I37" s="12" t="s">
        <v>230</v>
      </c>
      <c r="J37" s="12" t="s">
        <v>56</v>
      </c>
      <c r="K37" s="12" t="s">
        <v>57</v>
      </c>
      <c r="L37" s="12" t="s">
        <v>231</v>
      </c>
      <c r="M37" s="12" t="s">
        <v>48</v>
      </c>
      <c r="N37" s="12" t="s">
        <v>56</v>
      </c>
      <c r="O37" s="12" t="s">
        <v>232</v>
      </c>
      <c r="P37" s="12" t="s">
        <v>50</v>
      </c>
    </row>
    <row r="38" customFormat="false" ht="15" hidden="false" customHeight="false" outlineLevel="0" collapsed="false">
      <c r="A38" s="12" t="n">
        <v>37</v>
      </c>
      <c r="B38" s="12" t="s">
        <v>19</v>
      </c>
      <c r="C38" s="12" t="s">
        <v>233</v>
      </c>
      <c r="D38" s="12" t="s">
        <v>39</v>
      </c>
      <c r="E38" s="12" t="s">
        <v>40</v>
      </c>
      <c r="F38" s="12" t="s">
        <v>234</v>
      </c>
      <c r="G38" s="12" t="s">
        <v>235</v>
      </c>
      <c r="H38" s="12" t="s">
        <v>54</v>
      </c>
      <c r="I38" s="12" t="s">
        <v>236</v>
      </c>
      <c r="J38" s="12" t="s">
        <v>237</v>
      </c>
      <c r="K38" s="12" t="s">
        <v>57</v>
      </c>
      <c r="L38" s="12" t="s">
        <v>238</v>
      </c>
      <c r="M38" s="12" t="s">
        <v>48</v>
      </c>
      <c r="N38" s="12" t="s">
        <v>56</v>
      </c>
      <c r="O38" s="12" t="s">
        <v>239</v>
      </c>
      <c r="P38" s="12" t="s">
        <v>50</v>
      </c>
    </row>
    <row r="39" customFormat="false" ht="15" hidden="false" customHeight="false" outlineLevel="0" collapsed="false">
      <c r="A39" s="12" t="n">
        <v>38</v>
      </c>
      <c r="B39" s="12" t="s">
        <v>19</v>
      </c>
      <c r="C39" s="12" t="s">
        <v>240</v>
      </c>
      <c r="D39" s="12" t="s">
        <v>39</v>
      </c>
      <c r="E39" s="12" t="s">
        <v>40</v>
      </c>
      <c r="F39" s="12" t="s">
        <v>241</v>
      </c>
      <c r="G39" s="12" t="s">
        <v>242</v>
      </c>
      <c r="H39" s="12" t="s">
        <v>54</v>
      </c>
      <c r="I39" s="12" t="s">
        <v>243</v>
      </c>
      <c r="J39" s="12" t="s">
        <v>56</v>
      </c>
      <c r="K39" s="12" t="s">
        <v>57</v>
      </c>
      <c r="L39" s="12" t="s">
        <v>244</v>
      </c>
      <c r="M39" s="12" t="s">
        <v>48</v>
      </c>
      <c r="N39" s="12" t="s">
        <v>56</v>
      </c>
      <c r="O39" s="12" t="s">
        <v>245</v>
      </c>
      <c r="P39" s="12" t="s">
        <v>50</v>
      </c>
    </row>
    <row r="40" customFormat="false" ht="15" hidden="false" customHeight="false" outlineLevel="0" collapsed="false">
      <c r="A40" s="12" t="n">
        <v>39</v>
      </c>
      <c r="B40" s="12" t="s">
        <v>19</v>
      </c>
      <c r="C40" s="12" t="s">
        <v>246</v>
      </c>
      <c r="D40" s="12" t="s">
        <v>39</v>
      </c>
      <c r="E40" s="12" t="s">
        <v>40</v>
      </c>
      <c r="F40" s="12" t="s">
        <v>247</v>
      </c>
      <c r="G40" s="12" t="s">
        <v>248</v>
      </c>
      <c r="H40" s="12" t="s">
        <v>54</v>
      </c>
      <c r="I40" s="12" t="s">
        <v>249</v>
      </c>
      <c r="J40" s="12" t="s">
        <v>56</v>
      </c>
      <c r="K40" s="12" t="s">
        <v>57</v>
      </c>
      <c r="L40" s="12" t="s">
        <v>250</v>
      </c>
      <c r="M40" s="12" t="s">
        <v>48</v>
      </c>
      <c r="N40" s="12" t="s">
        <v>56</v>
      </c>
      <c r="O40" s="12" t="s">
        <v>251</v>
      </c>
      <c r="P40" s="12" t="s">
        <v>50</v>
      </c>
    </row>
    <row r="41" customFormat="false" ht="15" hidden="false" customHeight="false" outlineLevel="0" collapsed="false">
      <c r="A41" s="12" t="n">
        <v>40</v>
      </c>
      <c r="B41" s="12" t="s">
        <v>19</v>
      </c>
      <c r="C41" s="12" t="s">
        <v>252</v>
      </c>
      <c r="D41" s="12" t="s">
        <v>39</v>
      </c>
      <c r="E41" s="12" t="s">
        <v>40</v>
      </c>
      <c r="F41" s="12" t="s">
        <v>253</v>
      </c>
      <c r="G41" s="12" t="s">
        <v>254</v>
      </c>
      <c r="H41" s="12" t="s">
        <v>54</v>
      </c>
      <c r="I41" s="12" t="s">
        <v>255</v>
      </c>
      <c r="J41" s="12" t="s">
        <v>56</v>
      </c>
      <c r="K41" s="12" t="s">
        <v>57</v>
      </c>
      <c r="L41" s="12" t="s">
        <v>256</v>
      </c>
      <c r="M41" s="12" t="s">
        <v>48</v>
      </c>
      <c r="N41" s="12" t="s">
        <v>56</v>
      </c>
      <c r="O41" s="12" t="s">
        <v>257</v>
      </c>
      <c r="P41" s="12" t="s">
        <v>50</v>
      </c>
    </row>
    <row r="42" customFormat="false" ht="15" hidden="false" customHeight="false" outlineLevel="0" collapsed="false">
      <c r="A42" s="12" t="n">
        <v>41</v>
      </c>
      <c r="B42" s="12" t="s">
        <v>19</v>
      </c>
      <c r="C42" s="12" t="s">
        <v>258</v>
      </c>
      <c r="D42" s="12" t="s">
        <v>39</v>
      </c>
      <c r="E42" s="12" t="s">
        <v>40</v>
      </c>
      <c r="F42" s="12" t="s">
        <v>259</v>
      </c>
      <c r="G42" s="12" t="s">
        <v>260</v>
      </c>
      <c r="H42" s="12" t="s">
        <v>261</v>
      </c>
      <c r="I42" s="12" t="s">
        <v>262</v>
      </c>
      <c r="J42" s="12" t="s">
        <v>263</v>
      </c>
      <c r="K42" s="12" t="s">
        <v>264</v>
      </c>
      <c r="L42" s="12" t="s">
        <v>265</v>
      </c>
      <c r="M42" s="12" t="s">
        <v>266</v>
      </c>
      <c r="N42" s="12" t="s">
        <v>263</v>
      </c>
      <c r="O42" s="12" t="s">
        <v>267</v>
      </c>
      <c r="P42" s="12" t="s">
        <v>75</v>
      </c>
    </row>
    <row r="43" customFormat="false" ht="15" hidden="false" customHeight="false" outlineLevel="0" collapsed="false">
      <c r="A43" s="12" t="n">
        <v>42</v>
      </c>
      <c r="B43" s="12" t="s">
        <v>19</v>
      </c>
      <c r="C43" s="12" t="s">
        <v>268</v>
      </c>
      <c r="D43" s="12" t="s">
        <v>39</v>
      </c>
      <c r="E43" s="12" t="s">
        <v>40</v>
      </c>
      <c r="F43" s="12" t="s">
        <v>269</v>
      </c>
      <c r="G43" s="12" t="s">
        <v>270</v>
      </c>
      <c r="H43" s="12" t="s">
        <v>54</v>
      </c>
      <c r="I43" s="12" t="s">
        <v>271</v>
      </c>
      <c r="J43" s="12" t="s">
        <v>56</v>
      </c>
      <c r="K43" s="12" t="s">
        <v>57</v>
      </c>
      <c r="L43" s="12" t="s">
        <v>272</v>
      </c>
      <c r="M43" s="12" t="s">
        <v>48</v>
      </c>
      <c r="N43" s="12" t="s">
        <v>56</v>
      </c>
      <c r="O43" s="12" t="s">
        <v>273</v>
      </c>
      <c r="P43" s="12" t="s">
        <v>50</v>
      </c>
    </row>
    <row r="44" customFormat="false" ht="15" hidden="false" customHeight="false" outlineLevel="0" collapsed="false">
      <c r="A44" s="12" t="n">
        <v>43</v>
      </c>
      <c r="B44" s="12" t="s">
        <v>19</v>
      </c>
      <c r="C44" s="12" t="s">
        <v>274</v>
      </c>
      <c r="D44" s="12" t="s">
        <v>39</v>
      </c>
      <c r="E44" s="12" t="s">
        <v>40</v>
      </c>
      <c r="F44" s="12" t="s">
        <v>275</v>
      </c>
      <c r="G44" s="12" t="s">
        <v>276</v>
      </c>
      <c r="H44" s="12" t="s">
        <v>54</v>
      </c>
      <c r="I44" s="12" t="s">
        <v>277</v>
      </c>
      <c r="J44" s="12" t="s">
        <v>278</v>
      </c>
      <c r="K44" s="12" t="s">
        <v>71</v>
      </c>
      <c r="L44" s="12" t="s">
        <v>279</v>
      </c>
      <c r="M44" s="12" t="s">
        <v>73</v>
      </c>
      <c r="N44" s="12" t="s">
        <v>278</v>
      </c>
      <c r="O44" s="12" t="s">
        <v>280</v>
      </c>
      <c r="P44" s="12" t="s">
        <v>75</v>
      </c>
    </row>
    <row r="45" customFormat="false" ht="15" hidden="false" customHeight="false" outlineLevel="0" collapsed="false">
      <c r="A45" s="12" t="n">
        <v>44</v>
      </c>
      <c r="B45" s="12" t="s">
        <v>19</v>
      </c>
      <c r="C45" s="12" t="s">
        <v>281</v>
      </c>
      <c r="D45" s="12" t="s">
        <v>39</v>
      </c>
      <c r="E45" s="12" t="s">
        <v>40</v>
      </c>
      <c r="F45" s="12" t="s">
        <v>282</v>
      </c>
      <c r="G45" s="12" t="s">
        <v>283</v>
      </c>
      <c r="H45" s="12" t="s">
        <v>261</v>
      </c>
      <c r="I45" s="12" t="s">
        <v>284</v>
      </c>
      <c r="J45" s="12" t="s">
        <v>285</v>
      </c>
      <c r="K45" s="12" t="s">
        <v>286</v>
      </c>
      <c r="L45" s="12" t="s">
        <v>287</v>
      </c>
      <c r="M45" s="12" t="s">
        <v>266</v>
      </c>
      <c r="N45" s="12" t="s">
        <v>285</v>
      </c>
      <c r="O45" s="12" t="s">
        <v>282</v>
      </c>
      <c r="P45" s="12" t="s">
        <v>75</v>
      </c>
    </row>
    <row r="46" customFormat="false" ht="15" hidden="false" customHeight="false" outlineLevel="0" collapsed="false">
      <c r="A46" s="12" t="n">
        <v>45</v>
      </c>
      <c r="B46" s="12" t="s">
        <v>19</v>
      </c>
      <c r="C46" s="12" t="s">
        <v>288</v>
      </c>
      <c r="D46" s="12" t="s">
        <v>39</v>
      </c>
      <c r="E46" s="12" t="s">
        <v>40</v>
      </c>
      <c r="F46" s="12" t="s">
        <v>289</v>
      </c>
      <c r="G46" s="12" t="s">
        <v>290</v>
      </c>
      <c r="H46" s="12" t="s">
        <v>54</v>
      </c>
      <c r="I46" s="12" t="s">
        <v>291</v>
      </c>
      <c r="J46" s="12" t="s">
        <v>56</v>
      </c>
      <c r="K46" s="12" t="s">
        <v>57</v>
      </c>
      <c r="L46" s="12" t="s">
        <v>292</v>
      </c>
      <c r="M46" s="12" t="s">
        <v>48</v>
      </c>
      <c r="N46" s="12" t="s">
        <v>56</v>
      </c>
      <c r="O46" s="12" t="s">
        <v>293</v>
      </c>
      <c r="P46" s="12" t="s">
        <v>50</v>
      </c>
    </row>
    <row r="47" customFormat="false" ht="15" hidden="false" customHeight="false" outlineLevel="0" collapsed="false">
      <c r="A47" s="12" t="n">
        <v>46</v>
      </c>
      <c r="B47" s="12" t="s">
        <v>20</v>
      </c>
      <c r="C47" s="12" t="s">
        <v>294</v>
      </c>
      <c r="D47" s="12" t="s">
        <v>39</v>
      </c>
      <c r="E47" s="12" t="s">
        <v>92</v>
      </c>
      <c r="F47" s="12" t="s">
        <v>295</v>
      </c>
      <c r="G47" s="12" t="s">
        <v>296</v>
      </c>
      <c r="H47" s="12" t="s">
        <v>95</v>
      </c>
      <c r="I47" s="12" t="s">
        <v>297</v>
      </c>
      <c r="J47" s="12" t="s">
        <v>298</v>
      </c>
      <c r="K47" s="12"/>
      <c r="L47" s="12"/>
      <c r="M47" s="12"/>
      <c r="N47" s="12" t="s">
        <v>298</v>
      </c>
      <c r="O47" s="12" t="s">
        <v>299</v>
      </c>
      <c r="P47" s="12" t="s">
        <v>143</v>
      </c>
    </row>
    <row r="48" customFormat="false" ht="15" hidden="false" customHeight="false" outlineLevel="0" collapsed="false">
      <c r="A48" s="12" t="n">
        <v>47</v>
      </c>
      <c r="B48" s="12" t="s">
        <v>20</v>
      </c>
      <c r="C48" s="12" t="s">
        <v>300</v>
      </c>
      <c r="D48" s="12" t="s">
        <v>39</v>
      </c>
      <c r="E48" s="12" t="s">
        <v>92</v>
      </c>
      <c r="F48" s="12" t="s">
        <v>301</v>
      </c>
      <c r="G48" s="12" t="s">
        <v>302</v>
      </c>
      <c r="H48" s="12" t="s">
        <v>95</v>
      </c>
      <c r="I48" s="12" t="s">
        <v>303</v>
      </c>
      <c r="J48" s="12" t="s">
        <v>298</v>
      </c>
      <c r="K48" s="12"/>
      <c r="L48" s="12"/>
      <c r="M48" s="12"/>
      <c r="N48" s="12" t="s">
        <v>298</v>
      </c>
      <c r="O48" s="12" t="s">
        <v>304</v>
      </c>
      <c r="P48" s="12" t="s">
        <v>143</v>
      </c>
    </row>
    <row r="49" customFormat="false" ht="15" hidden="false" customHeight="false" outlineLevel="0" collapsed="false">
      <c r="A49" s="12" t="n">
        <v>48</v>
      </c>
      <c r="B49" s="12" t="s">
        <v>20</v>
      </c>
      <c r="C49" s="12" t="s">
        <v>305</v>
      </c>
      <c r="D49" s="12" t="s">
        <v>39</v>
      </c>
      <c r="E49" s="12" t="s">
        <v>92</v>
      </c>
      <c r="F49" s="12" t="s">
        <v>306</v>
      </c>
      <c r="G49" s="12" t="s">
        <v>307</v>
      </c>
      <c r="H49" s="12" t="s">
        <v>95</v>
      </c>
      <c r="I49" s="12" t="s">
        <v>308</v>
      </c>
      <c r="J49" s="12" t="s">
        <v>298</v>
      </c>
      <c r="K49" s="12"/>
      <c r="L49" s="12"/>
      <c r="M49" s="12"/>
      <c r="N49" s="12" t="s">
        <v>298</v>
      </c>
      <c r="O49" s="12" t="s">
        <v>309</v>
      </c>
      <c r="P49" s="12" t="s">
        <v>143</v>
      </c>
    </row>
    <row r="50" customFormat="false" ht="15" hidden="false" customHeight="false" outlineLevel="0" collapsed="false">
      <c r="A50" s="12" t="n">
        <v>49</v>
      </c>
      <c r="B50" s="12" t="s">
        <v>20</v>
      </c>
      <c r="C50" s="12" t="s">
        <v>310</v>
      </c>
      <c r="D50" s="12" t="s">
        <v>39</v>
      </c>
      <c r="E50" s="12" t="s">
        <v>92</v>
      </c>
      <c r="F50" s="12" t="s">
        <v>311</v>
      </c>
      <c r="G50" s="12" t="s">
        <v>312</v>
      </c>
      <c r="H50" s="12" t="s">
        <v>95</v>
      </c>
      <c r="I50" s="12" t="s">
        <v>313</v>
      </c>
      <c r="J50" s="12" t="s">
        <v>298</v>
      </c>
      <c r="K50" s="12"/>
      <c r="L50" s="12"/>
      <c r="M50" s="12"/>
      <c r="N50" s="12" t="s">
        <v>298</v>
      </c>
      <c r="O50" s="12" t="s">
        <v>314</v>
      </c>
      <c r="P50" s="12" t="s">
        <v>143</v>
      </c>
    </row>
    <row r="51" customFormat="false" ht="15" hidden="false" customHeight="false" outlineLevel="0" collapsed="false">
      <c r="A51" s="12" t="n">
        <v>50</v>
      </c>
      <c r="B51" s="12" t="s">
        <v>20</v>
      </c>
      <c r="C51" s="12" t="s">
        <v>315</v>
      </c>
      <c r="D51" s="12" t="s">
        <v>39</v>
      </c>
      <c r="E51" s="12" t="s">
        <v>92</v>
      </c>
      <c r="F51" s="12" t="s">
        <v>316</v>
      </c>
      <c r="G51" s="12" t="s">
        <v>317</v>
      </c>
      <c r="H51" s="12" t="s">
        <v>95</v>
      </c>
      <c r="I51" s="12" t="s">
        <v>318</v>
      </c>
      <c r="J51" s="12" t="s">
        <v>298</v>
      </c>
      <c r="K51" s="12"/>
      <c r="L51" s="12"/>
      <c r="M51" s="12"/>
      <c r="N51" s="12" t="s">
        <v>298</v>
      </c>
      <c r="O51" s="12" t="s">
        <v>319</v>
      </c>
      <c r="P51" s="12" t="s">
        <v>143</v>
      </c>
    </row>
    <row r="52" customFormat="false" ht="15" hidden="false" customHeight="false" outlineLevel="0" collapsed="false">
      <c r="A52" s="12" t="n">
        <v>51</v>
      </c>
      <c r="B52" s="12" t="s">
        <v>20</v>
      </c>
      <c r="C52" s="12" t="s">
        <v>320</v>
      </c>
      <c r="D52" s="12" t="s">
        <v>39</v>
      </c>
      <c r="E52" s="12" t="s">
        <v>92</v>
      </c>
      <c r="F52" s="12" t="s">
        <v>321</v>
      </c>
      <c r="G52" s="12" t="s">
        <v>322</v>
      </c>
      <c r="H52" s="12" t="s">
        <v>95</v>
      </c>
      <c r="I52" s="12" t="s">
        <v>323</v>
      </c>
      <c r="J52" s="12" t="s">
        <v>298</v>
      </c>
      <c r="K52" s="12"/>
      <c r="L52" s="12"/>
      <c r="M52" s="12"/>
      <c r="N52" s="12" t="s">
        <v>298</v>
      </c>
      <c r="O52" s="12" t="s">
        <v>324</v>
      </c>
      <c r="P52" s="12" t="s">
        <v>143</v>
      </c>
    </row>
    <row r="53" customFormat="false" ht="15" hidden="false" customHeight="false" outlineLevel="0" collapsed="false">
      <c r="A53" s="12" t="n">
        <v>52</v>
      </c>
      <c r="B53" s="12" t="s">
        <v>20</v>
      </c>
      <c r="C53" s="12" t="s">
        <v>325</v>
      </c>
      <c r="D53" s="12" t="s">
        <v>39</v>
      </c>
      <c r="E53" s="12" t="s">
        <v>92</v>
      </c>
      <c r="F53" s="12" t="s">
        <v>326</v>
      </c>
      <c r="G53" s="12" t="s">
        <v>327</v>
      </c>
      <c r="H53" s="12" t="s">
        <v>95</v>
      </c>
      <c r="I53" s="12" t="s">
        <v>328</v>
      </c>
      <c r="J53" s="12" t="s">
        <v>298</v>
      </c>
      <c r="K53" s="12"/>
      <c r="L53" s="12"/>
      <c r="M53" s="12"/>
      <c r="N53" s="12" t="s">
        <v>298</v>
      </c>
      <c r="O53" s="12" t="s">
        <v>329</v>
      </c>
      <c r="P53" s="12" t="s">
        <v>143</v>
      </c>
    </row>
    <row r="54" customFormat="false" ht="15" hidden="false" customHeight="false" outlineLevel="0" collapsed="false">
      <c r="A54" s="12" t="n">
        <v>53</v>
      </c>
      <c r="B54" s="12" t="s">
        <v>21</v>
      </c>
      <c r="C54" s="12" t="s">
        <v>330</v>
      </c>
      <c r="D54" s="12" t="s">
        <v>39</v>
      </c>
      <c r="E54" s="12" t="s">
        <v>92</v>
      </c>
      <c r="F54" s="12" t="s">
        <v>331</v>
      </c>
      <c r="G54" s="12" t="s">
        <v>332</v>
      </c>
      <c r="H54" s="12" t="s">
        <v>95</v>
      </c>
      <c r="I54" s="12" t="s">
        <v>333</v>
      </c>
      <c r="J54" s="12" t="s">
        <v>298</v>
      </c>
      <c r="K54" s="12"/>
      <c r="L54" s="12"/>
      <c r="M54" s="12"/>
      <c r="N54" s="12" t="s">
        <v>298</v>
      </c>
      <c r="O54" s="12" t="s">
        <v>334</v>
      </c>
      <c r="P54" s="12" t="s">
        <v>143</v>
      </c>
    </row>
    <row r="55" customFormat="false" ht="15" hidden="false" customHeight="false" outlineLevel="0" collapsed="false">
      <c r="A55" s="12" t="n">
        <v>54</v>
      </c>
      <c r="B55" s="12" t="s">
        <v>21</v>
      </c>
      <c r="C55" s="12" t="s">
        <v>335</v>
      </c>
      <c r="D55" s="12" t="s">
        <v>39</v>
      </c>
      <c r="E55" s="12" t="s">
        <v>92</v>
      </c>
      <c r="F55" s="12" t="s">
        <v>336</v>
      </c>
      <c r="G55" s="12" t="s">
        <v>337</v>
      </c>
      <c r="H55" s="12" t="s">
        <v>95</v>
      </c>
      <c r="I55" s="12" t="s">
        <v>338</v>
      </c>
      <c r="J55" s="12" t="s">
        <v>298</v>
      </c>
      <c r="K55" s="12"/>
      <c r="L55" s="12"/>
      <c r="M55" s="12"/>
      <c r="N55" s="12" t="s">
        <v>298</v>
      </c>
      <c r="O55" s="12" t="s">
        <v>339</v>
      </c>
      <c r="P55" s="12" t="s">
        <v>143</v>
      </c>
    </row>
    <row r="56" customFormat="false" ht="15" hidden="false" customHeight="false" outlineLevel="0" collapsed="false">
      <c r="A56" s="12" t="n">
        <v>55</v>
      </c>
      <c r="B56" s="12" t="s">
        <v>22</v>
      </c>
      <c r="C56" s="12" t="s">
        <v>340</v>
      </c>
      <c r="D56" s="12" t="s">
        <v>140</v>
      </c>
      <c r="E56" s="12" t="s">
        <v>92</v>
      </c>
      <c r="F56" s="12"/>
      <c r="G56" s="12"/>
      <c r="H56" s="12" t="s">
        <v>95</v>
      </c>
      <c r="I56" s="12" t="s">
        <v>341</v>
      </c>
      <c r="J56" s="12" t="s">
        <v>104</v>
      </c>
      <c r="K56" s="12"/>
      <c r="L56" s="12"/>
      <c r="M56" s="12"/>
      <c r="N56" s="12" t="s">
        <v>104</v>
      </c>
      <c r="O56" s="12"/>
      <c r="P56" s="12" t="s">
        <v>50</v>
      </c>
    </row>
    <row r="57" customFormat="false" ht="15" hidden="false" customHeight="false" outlineLevel="0" collapsed="false">
      <c r="A57" s="12" t="n">
        <v>56</v>
      </c>
      <c r="B57" s="12" t="s">
        <v>22</v>
      </c>
      <c r="C57" s="12" t="s">
        <v>342</v>
      </c>
      <c r="D57" s="12" t="s">
        <v>39</v>
      </c>
      <c r="E57" s="12" t="s">
        <v>84</v>
      </c>
      <c r="F57" s="12" t="s">
        <v>343</v>
      </c>
      <c r="G57" s="12" t="s">
        <v>344</v>
      </c>
      <c r="H57" s="12" t="s">
        <v>345</v>
      </c>
      <c r="I57" s="12" t="s">
        <v>346</v>
      </c>
      <c r="J57" s="12" t="s">
        <v>347</v>
      </c>
      <c r="K57" s="12" t="s">
        <v>348</v>
      </c>
      <c r="L57" s="12" t="s">
        <v>349</v>
      </c>
      <c r="M57" s="12" t="s">
        <v>350</v>
      </c>
      <c r="N57" s="12" t="s">
        <v>347</v>
      </c>
      <c r="O57" s="12" t="s">
        <v>351</v>
      </c>
      <c r="P57" s="12" t="s">
        <v>352</v>
      </c>
    </row>
    <row r="58" customFormat="false" ht="15" hidden="false" customHeight="false" outlineLevel="0" collapsed="false">
      <c r="A58" s="12" t="n">
        <v>57</v>
      </c>
      <c r="B58" s="12" t="s">
        <v>22</v>
      </c>
      <c r="C58" s="12" t="s">
        <v>353</v>
      </c>
      <c r="D58" s="12" t="s">
        <v>140</v>
      </c>
      <c r="E58" s="12" t="s">
        <v>84</v>
      </c>
      <c r="F58" s="12"/>
      <c r="G58" s="12"/>
      <c r="H58" s="12" t="s">
        <v>87</v>
      </c>
      <c r="I58" s="12" t="s">
        <v>354</v>
      </c>
      <c r="J58" s="12" t="s">
        <v>355</v>
      </c>
      <c r="K58" s="12"/>
      <c r="L58" s="12"/>
      <c r="M58" s="12" t="s">
        <v>48</v>
      </c>
      <c r="N58" s="12" t="s">
        <v>355</v>
      </c>
      <c r="O58" s="12"/>
      <c r="P58" s="12" t="s">
        <v>143</v>
      </c>
    </row>
    <row r="59" customFormat="false" ht="15" hidden="false" customHeight="false" outlineLevel="0" collapsed="false">
      <c r="A59" s="12" t="n">
        <v>58</v>
      </c>
      <c r="B59" s="12" t="s">
        <v>22</v>
      </c>
      <c r="C59" s="12" t="s">
        <v>356</v>
      </c>
      <c r="D59" s="12" t="s">
        <v>39</v>
      </c>
      <c r="E59" s="12" t="s">
        <v>40</v>
      </c>
      <c r="F59" s="12" t="s">
        <v>357</v>
      </c>
      <c r="G59" s="12" t="s">
        <v>358</v>
      </c>
      <c r="H59" s="12" t="s">
        <v>43</v>
      </c>
      <c r="I59" s="12" t="s">
        <v>359</v>
      </c>
      <c r="J59" s="12" t="s">
        <v>45</v>
      </c>
      <c r="K59" s="12" t="s">
        <v>46</v>
      </c>
      <c r="L59" s="12" t="s">
        <v>360</v>
      </c>
      <c r="M59" s="12" t="s">
        <v>48</v>
      </c>
      <c r="N59" s="12" t="s">
        <v>45</v>
      </c>
      <c r="O59" s="12"/>
      <c r="P59" s="12" t="s">
        <v>50</v>
      </c>
    </row>
  </sheetData>
  <conditionalFormatting sqref="D2:D59">
    <cfRule type="cellIs" priority="2" operator="equal" aboveAverage="0" equalAverage="0" bottom="0" percent="0" rank="0" text="" dxfId="9">
      <formula>"Instalada"</formula>
    </cfRule>
    <cfRule type="cellIs" priority="3" operator="equal" aboveAverage="0" equalAverage="0" bottom="0" percent="0" rank="0" text="" dxfId="10">
      <formula>"Pendiente"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2026-07-27T23:03:20Z</dcterms:created>
  <dc:creator>openpyxl</dc:creator>
  <dc:description/>
  <dc:language>en-US</dc:language>
  <cp:lastModifiedBy/>
  <dcterms:modified xsi:type="dcterms:W3CDTF">2026-07-27T23:03:27Z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